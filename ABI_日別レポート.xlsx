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サマリー" sheetId="2" state="visible" r:id="rId2"/>
    <sheet name="日別レポー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#,##0.0"/>
    <numFmt numFmtId="167" formatCode="¥#,##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167" fontId="1" fillId="0" borderId="0" pivotButton="0" quotePrefix="0" xfId="0"/>
    <xf numFmtId="166" fontId="1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クライアント</t>
        </is>
      </c>
      <c r="B2" t="inlineStr">
        <is>
          <t>アジャイルビジネスインスティテュート様</t>
        </is>
      </c>
    </row>
    <row r="3">
      <c r="A3" t="inlineStr">
        <is>
          <t>グロス係数(ネット→グロス)</t>
        </is>
      </c>
      <c r="B3" t="n">
        <v>1.25</v>
      </c>
    </row>
    <row r="4">
      <c r="A4" t="inlineStr">
        <is>
          <t>Hayabusa promotion_id</t>
        </is>
      </c>
      <c r="B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広告配信レポート サマリー(2026/9/1〜2026/10/1)</t>
        </is>
      </c>
    </row>
    <row r="3">
      <c r="A3" s="2" t="inlineStr">
        <is>
          <t>媒体</t>
        </is>
      </c>
      <c r="B3" s="2" t="inlineStr">
        <is>
          <t>表示回数</t>
        </is>
      </c>
      <c r="C3" s="2" t="inlineStr">
        <is>
          <t>クリック数</t>
        </is>
      </c>
      <c r="D3" s="2" t="inlineStr">
        <is>
          <t>クリック率</t>
        </is>
      </c>
      <c r="E3" s="2" t="inlineStr">
        <is>
          <t>クリック単価</t>
        </is>
      </c>
      <c r="F3" s="2" t="inlineStr">
        <is>
          <t>コスト(ネット)</t>
        </is>
      </c>
      <c r="G3" s="2" t="inlineStr">
        <is>
          <t>コスト(グロス)</t>
        </is>
      </c>
      <c r="H3" s="2" t="inlineStr">
        <is>
          <t>媒体CV</t>
        </is>
      </c>
      <c r="I3" s="2" t="inlineStr">
        <is>
          <t>媒体CVR</t>
        </is>
      </c>
      <c r="J3" s="2" t="inlineStr">
        <is>
          <t>媒体CPA</t>
        </is>
      </c>
      <c r="K3" s="2" t="inlineStr">
        <is>
          <t>GACV</t>
        </is>
      </c>
      <c r="L3" s="2" t="inlineStr">
        <is>
          <t>想定売上</t>
        </is>
      </c>
      <c r="M3" s="2" t="inlineStr">
        <is>
          <t>ROAS</t>
        </is>
      </c>
    </row>
    <row r="4">
      <c r="A4" t="inlineStr">
        <is>
          <t>Google</t>
        </is>
      </c>
      <c r="B4" s="3">
        <f>SUMIF(日別レポート!$C$4:$C$65,$A4,日別レポート!D$4:D$65)</f>
        <v/>
      </c>
      <c r="C4" s="3">
        <f>SUMIF(日別レポート!$C$4:$C$65,$A4,日別レポート!E$4:E$65)</f>
        <v/>
      </c>
      <c r="D4" s="4">
        <f>C4/B4</f>
        <v/>
      </c>
      <c r="E4" s="5">
        <f>F4/C4</f>
        <v/>
      </c>
      <c r="F4" s="5">
        <f>SUMIF(日別レポート!$C$4:$C$65,$A4,日別レポート!H$4:H$65)</f>
        <v/>
      </c>
      <c r="G4" s="5">
        <f>SUMIF(日別レポート!$C$4:$C$65,$A4,日別レポート!I$4:I$65)</f>
        <v/>
      </c>
      <c r="H4" s="6">
        <f>SUMIF(日別レポート!$C$4:$C$65,$A4,日別レポート!J$4:J$65)</f>
        <v/>
      </c>
      <c r="I4" s="4">
        <f>H4/C4</f>
        <v/>
      </c>
      <c r="J4" s="5">
        <f>IFERROR(G4/H4,"-")</f>
        <v/>
      </c>
      <c r="K4" s="3">
        <f>SUMIF(日別レポート!$C$4:$C$65,$A4,日別レポート!M$4:M$65)</f>
        <v/>
      </c>
      <c r="L4" s="5">
        <f>SUMIF(日別レポート!$C$4:$C$65,$A4,日別レポート!P$4:P$65)</f>
        <v/>
      </c>
      <c r="M4" s="7">
        <f>IFERROR(L4/G4,"-")</f>
        <v/>
      </c>
    </row>
    <row r="5">
      <c r="A5" t="inlineStr">
        <is>
          <t>Yahoo検索</t>
        </is>
      </c>
      <c r="B5" s="3">
        <f>SUMIF(日別レポート!$C$4:$C$65,$A5,日別レポート!D$4:D$65)</f>
        <v/>
      </c>
      <c r="C5" s="3">
        <f>SUMIF(日別レポート!$C$4:$C$65,$A5,日別レポート!E$4:E$65)</f>
        <v/>
      </c>
      <c r="D5" s="4">
        <f>C5/B5</f>
        <v/>
      </c>
      <c r="E5" s="5">
        <f>F5/C5</f>
        <v/>
      </c>
      <c r="F5" s="5">
        <f>SUMIF(日別レポート!$C$4:$C$65,$A5,日別レポート!H$4:H$65)</f>
        <v/>
      </c>
      <c r="G5" s="5">
        <f>SUMIF(日別レポート!$C$4:$C$65,$A5,日別レポート!I$4:I$65)</f>
        <v/>
      </c>
      <c r="H5" s="6">
        <f>SUMIF(日別レポート!$C$4:$C$65,$A5,日別レポート!J$4:J$65)</f>
        <v/>
      </c>
      <c r="I5" s="4">
        <f>H5/C5</f>
        <v/>
      </c>
      <c r="J5" s="5">
        <f>IFERROR(G5/H5,"-")</f>
        <v/>
      </c>
      <c r="K5" s="3">
        <f>SUMIF(日別レポート!$C$4:$C$65,$A5,日別レポート!M$4:M$65)</f>
        <v/>
      </c>
      <c r="L5" s="5">
        <f>SUMIF(日別レポート!$C$4:$C$65,$A5,日別レポート!P$4:P$65)</f>
        <v/>
      </c>
      <c r="M5" s="7">
        <f>IFERROR(L5/G5,"-")</f>
        <v/>
      </c>
    </row>
    <row r="6">
      <c r="A6" s="1" t="inlineStr">
        <is>
          <t>合計</t>
        </is>
      </c>
      <c r="B6" s="8">
        <f>SUM(B4:B5)</f>
        <v/>
      </c>
      <c r="C6" s="8">
        <f>SUM(C4:C5)</f>
        <v/>
      </c>
      <c r="D6" s="9">
        <f>C6/B6</f>
        <v/>
      </c>
      <c r="E6" s="10">
        <f>F6/C6</f>
        <v/>
      </c>
      <c r="F6" s="10">
        <f>SUM(F4:F5)</f>
        <v/>
      </c>
      <c r="G6" s="10">
        <f>SUM(G4:G5)</f>
        <v/>
      </c>
      <c r="H6" s="11">
        <f>SUM(H4:H5)</f>
        <v/>
      </c>
      <c r="I6" s="9">
        <f>H6/C6</f>
        <v/>
      </c>
      <c r="J6" s="10">
        <f>G6/H6</f>
        <v/>
      </c>
      <c r="K6" s="8">
        <f>SUM(K4:K5)</f>
        <v/>
      </c>
      <c r="L6" s="10">
        <f>SUM(L4:L5)</f>
        <v/>
      </c>
      <c r="M6" s="12">
        <f>L6/G6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3" t="inlineStr">
        <is>
          <t>アジャイルビジネスインスティテュート様 広告配信 日別レポート(2026年9月〜2026年10月1日)</t>
        </is>
      </c>
    </row>
    <row r="3">
      <c r="A3" s="14" t="inlineStr">
        <is>
          <t>日付</t>
        </is>
      </c>
      <c r="B3" s="14" t="inlineStr">
        <is>
          <t>曜日</t>
        </is>
      </c>
      <c r="C3" s="14" t="inlineStr">
        <is>
          <t>媒体</t>
        </is>
      </c>
      <c r="D3" s="14" t="inlineStr">
        <is>
          <t>表示回数</t>
        </is>
      </c>
      <c r="E3" s="14" t="inlineStr">
        <is>
          <t>クリック数</t>
        </is>
      </c>
      <c r="F3" s="14" t="inlineStr">
        <is>
          <t>クリック率</t>
        </is>
      </c>
      <c r="G3" s="14" t="inlineStr">
        <is>
          <t>クリック単価</t>
        </is>
      </c>
      <c r="H3" s="14" t="inlineStr">
        <is>
          <t>コスト(ネット)</t>
        </is>
      </c>
      <c r="I3" s="14" t="inlineStr">
        <is>
          <t>コスト(グロス)</t>
        </is>
      </c>
      <c r="J3" s="14" t="inlineStr">
        <is>
          <t>媒体CV</t>
        </is>
      </c>
      <c r="K3" s="14" t="inlineStr">
        <is>
          <t>媒体CVR</t>
        </is>
      </c>
      <c r="L3" s="14" t="inlineStr">
        <is>
          <t>媒体CPA</t>
        </is>
      </c>
      <c r="M3" s="14" t="inlineStr">
        <is>
          <t>GACV</t>
        </is>
      </c>
      <c r="N3" s="14" t="inlineStr">
        <is>
          <t>GACVR</t>
        </is>
      </c>
      <c r="O3" s="14" t="inlineStr">
        <is>
          <t>GACPA</t>
        </is>
      </c>
      <c r="P3" s="14" t="inlineStr">
        <is>
          <t>想定売上(GA購入収益)</t>
        </is>
      </c>
      <c r="Q3" s="14" t="inlineStr">
        <is>
          <t>ROAS</t>
        </is>
      </c>
    </row>
    <row r="4">
      <c r="A4" s="15" t="n">
        <v>46266</v>
      </c>
      <c r="B4" t="inlineStr">
        <is>
          <t>火</t>
        </is>
      </c>
      <c r="C4" t="inlineStr">
        <is>
          <t>Google</t>
        </is>
      </c>
      <c r="D4" s="3" t="n">
        <v>21414</v>
      </c>
      <c r="E4" s="3" t="n">
        <v>263</v>
      </c>
      <c r="F4" s="4">
        <f>IFERROR(E4/D4,0)</f>
        <v/>
      </c>
      <c r="G4" s="5">
        <f>IFERROR(H4/E4,0)</f>
        <v/>
      </c>
      <c r="H4" s="5" t="n">
        <v>26733.49</v>
      </c>
      <c r="I4" s="5">
        <f>H4*設定!$B$3</f>
        <v/>
      </c>
      <c r="J4" s="6" t="n">
        <v>7.6</v>
      </c>
      <c r="K4" s="4">
        <f>IFERROR(J4/E4,0)</f>
        <v/>
      </c>
      <c r="L4" s="5">
        <f>IFERROR(I4/J4,"-")</f>
        <v/>
      </c>
      <c r="M4" s="3" t="n">
        <v>2</v>
      </c>
      <c r="N4" s="4">
        <f>IFERROR(M4/E4,0)</f>
        <v/>
      </c>
      <c r="O4" s="5">
        <f>IFERROR(I4/M4,"-")</f>
        <v/>
      </c>
      <c r="P4" s="5" t="n">
        <v>418000</v>
      </c>
      <c r="Q4" s="7">
        <f>IFERROR(P4/I4,"-")</f>
        <v/>
      </c>
    </row>
    <row r="5">
      <c r="A5" s="15" t="n">
        <v>46266</v>
      </c>
      <c r="B5" t="inlineStr">
        <is>
          <t>火</t>
        </is>
      </c>
      <c r="C5" t="inlineStr">
        <is>
          <t>Yahoo検索</t>
        </is>
      </c>
      <c r="D5" s="3" t="n">
        <v>1127</v>
      </c>
      <c r="E5" s="3" t="n">
        <v>34</v>
      </c>
      <c r="F5" s="4">
        <f>IFERROR(E5/D5,0)</f>
        <v/>
      </c>
      <c r="G5" s="5">
        <f>IFERROR(H5/E5,0)</f>
        <v/>
      </c>
      <c r="H5" s="5" t="n">
        <v>2425.5</v>
      </c>
      <c r="I5" s="5">
        <f>H5*設定!$B$3</f>
        <v/>
      </c>
      <c r="J5" s="6" t="n">
        <v>0</v>
      </c>
      <c r="K5" s="4">
        <f>IFERROR(J5/E5,0)</f>
        <v/>
      </c>
      <c r="L5" s="5">
        <f>IFERROR(I5/J5,"-")</f>
        <v/>
      </c>
      <c r="M5" s="3" t="n">
        <v>0</v>
      </c>
      <c r="N5" s="4">
        <f>IFERROR(M5/E5,0)</f>
        <v/>
      </c>
      <c r="O5" s="5">
        <f>IFERROR(I5/M5,"-")</f>
        <v/>
      </c>
      <c r="P5" s="5" t="n">
        <v>0</v>
      </c>
      <c r="Q5" s="7">
        <f>IFERROR(P5/I5,"-")</f>
        <v/>
      </c>
    </row>
    <row r="6">
      <c r="A6" s="15" t="n">
        <v>46267</v>
      </c>
      <c r="B6" t="inlineStr">
        <is>
          <t>水</t>
        </is>
      </c>
      <c r="C6" t="inlineStr">
        <is>
          <t>Google</t>
        </is>
      </c>
      <c r="D6" s="3" t="n">
        <v>12320</v>
      </c>
      <c r="E6" s="3" t="n">
        <v>225</v>
      </c>
      <c r="F6" s="4">
        <f>IFERROR(E6/D6,0)</f>
        <v/>
      </c>
      <c r="G6" s="5">
        <f>IFERROR(H6/E6,0)</f>
        <v/>
      </c>
      <c r="H6" s="5" t="n">
        <v>22290.96</v>
      </c>
      <c r="I6" s="5">
        <f>H6*設定!$B$3</f>
        <v/>
      </c>
      <c r="J6" s="6" t="n">
        <v>35</v>
      </c>
      <c r="K6" s="4">
        <f>IFERROR(J6/E6,0)</f>
        <v/>
      </c>
      <c r="L6" s="5">
        <f>IFERROR(I6/J6,"-")</f>
        <v/>
      </c>
      <c r="M6" s="3" t="n">
        <v>2</v>
      </c>
      <c r="N6" s="4">
        <f>IFERROR(M6/E6,0)</f>
        <v/>
      </c>
      <c r="O6" s="5">
        <f>IFERROR(I6/M6,"-")</f>
        <v/>
      </c>
      <c r="P6" s="5" t="n">
        <v>418000</v>
      </c>
      <c r="Q6" s="7">
        <f>IFERROR(P6/I6,"-")</f>
        <v/>
      </c>
    </row>
    <row r="7">
      <c r="A7" s="15" t="n">
        <v>46267</v>
      </c>
      <c r="B7" t="inlineStr">
        <is>
          <t>水</t>
        </is>
      </c>
      <c r="C7" t="inlineStr">
        <is>
          <t>Yahoo検索</t>
        </is>
      </c>
      <c r="D7" s="3" t="n">
        <v>942</v>
      </c>
      <c r="E7" s="3" t="n">
        <v>41</v>
      </c>
      <c r="F7" s="4">
        <f>IFERROR(E7/D7,0)</f>
        <v/>
      </c>
      <c r="G7" s="5">
        <f>IFERROR(H7/E7,0)</f>
        <v/>
      </c>
      <c r="H7" s="5" t="n">
        <v>3098.7</v>
      </c>
      <c r="I7" s="5">
        <f>H7*設定!$B$3</f>
        <v/>
      </c>
      <c r="J7" s="6" t="n">
        <v>0</v>
      </c>
      <c r="K7" s="4">
        <f>IFERROR(J7/E7,0)</f>
        <v/>
      </c>
      <c r="L7" s="5">
        <f>IFERROR(I7/J7,"-")</f>
        <v/>
      </c>
      <c r="M7" s="3" t="n">
        <v>0</v>
      </c>
      <c r="N7" s="4">
        <f>IFERROR(M7/E7,0)</f>
        <v/>
      </c>
      <c r="O7" s="5">
        <f>IFERROR(I7/M7,"-")</f>
        <v/>
      </c>
      <c r="P7" s="5" t="n">
        <v>0</v>
      </c>
      <c r="Q7" s="7">
        <f>IFERROR(P7/I7,"-")</f>
        <v/>
      </c>
    </row>
    <row r="8">
      <c r="A8" s="15" t="n">
        <v>46268</v>
      </c>
      <c r="B8" t="inlineStr">
        <is>
          <t>木</t>
        </is>
      </c>
      <c r="C8" t="inlineStr">
        <is>
          <t>Google</t>
        </is>
      </c>
      <c r="D8" s="3" t="n">
        <v>23238</v>
      </c>
      <c r="E8" s="3" t="n">
        <v>360</v>
      </c>
      <c r="F8" s="4">
        <f>IFERROR(E8/D8,0)</f>
        <v/>
      </c>
      <c r="G8" s="5">
        <f>IFERROR(H8/E8,0)</f>
        <v/>
      </c>
      <c r="H8" s="5" t="n">
        <v>27313.15</v>
      </c>
      <c r="I8" s="5">
        <f>H8*設定!$B$3</f>
        <v/>
      </c>
      <c r="J8" s="6" t="n">
        <v>61.08</v>
      </c>
      <c r="K8" s="4">
        <f>IFERROR(J8/E8,0)</f>
        <v/>
      </c>
      <c r="L8" s="5">
        <f>IFERROR(I8/J8,"-")</f>
        <v/>
      </c>
      <c r="M8" s="3" t="n">
        <v>0</v>
      </c>
      <c r="N8" s="4">
        <f>IFERROR(M8/E8,0)</f>
        <v/>
      </c>
      <c r="O8" s="5">
        <f>IFERROR(I8/M8,"-")</f>
        <v/>
      </c>
      <c r="P8" s="5" t="n">
        <v>0</v>
      </c>
      <c r="Q8" s="7">
        <f>IFERROR(P8/I8,"-")</f>
        <v/>
      </c>
    </row>
    <row r="9">
      <c r="A9" s="15" t="n">
        <v>46268</v>
      </c>
      <c r="B9" t="inlineStr">
        <is>
          <t>木</t>
        </is>
      </c>
      <c r="C9" t="inlineStr">
        <is>
          <t>Yahoo検索</t>
        </is>
      </c>
      <c r="D9" s="3" t="n">
        <v>1045</v>
      </c>
      <c r="E9" s="3" t="n">
        <v>49</v>
      </c>
      <c r="F9" s="4">
        <f>IFERROR(E9/D9,0)</f>
        <v/>
      </c>
      <c r="G9" s="5">
        <f>IFERROR(H9/E9,0)</f>
        <v/>
      </c>
      <c r="H9" s="5" t="n">
        <v>4023.8</v>
      </c>
      <c r="I9" s="5">
        <f>H9*設定!$B$3</f>
        <v/>
      </c>
      <c r="J9" s="6" t="n">
        <v>0</v>
      </c>
      <c r="K9" s="4">
        <f>IFERROR(J9/E9,0)</f>
        <v/>
      </c>
      <c r="L9" s="5">
        <f>IFERROR(I9/J9,"-")</f>
        <v/>
      </c>
      <c r="M9" s="3" t="n">
        <v>0</v>
      </c>
      <c r="N9" s="4">
        <f>IFERROR(M9/E9,0)</f>
        <v/>
      </c>
      <c r="O9" s="5">
        <f>IFERROR(I9/M9,"-")</f>
        <v/>
      </c>
      <c r="P9" s="5" t="n">
        <v>0</v>
      </c>
      <c r="Q9" s="7">
        <f>IFERROR(P9/I9,"-")</f>
        <v/>
      </c>
    </row>
    <row r="10">
      <c r="A10" s="15" t="n">
        <v>46269</v>
      </c>
      <c r="B10" t="inlineStr">
        <is>
          <t>金</t>
        </is>
      </c>
      <c r="C10" t="inlineStr">
        <is>
          <t>Google</t>
        </is>
      </c>
      <c r="D10" s="3" t="n">
        <v>18450</v>
      </c>
      <c r="E10" s="3" t="n">
        <v>280</v>
      </c>
      <c r="F10" s="4">
        <f>IFERROR(E10/D10,0)</f>
        <v/>
      </c>
      <c r="G10" s="5">
        <f>IFERROR(H10/E10,0)</f>
        <v/>
      </c>
      <c r="H10" s="5" t="n">
        <v>22154.29</v>
      </c>
      <c r="I10" s="5">
        <f>H10*設定!$B$3</f>
        <v/>
      </c>
      <c r="J10" s="6" t="n">
        <v>61</v>
      </c>
      <c r="K10" s="4">
        <f>IFERROR(J10/E10,0)</f>
        <v/>
      </c>
      <c r="L10" s="5">
        <f>IFERROR(I10/J10,"-")</f>
        <v/>
      </c>
      <c r="M10" s="3" t="n">
        <v>0</v>
      </c>
      <c r="N10" s="4">
        <f>IFERROR(M10/E10,0)</f>
        <v/>
      </c>
      <c r="O10" s="5">
        <f>IFERROR(I10/M10,"-")</f>
        <v/>
      </c>
      <c r="P10" s="5" t="n">
        <v>0</v>
      </c>
      <c r="Q10" s="7">
        <f>IFERROR(P10/I10,"-")</f>
        <v/>
      </c>
    </row>
    <row r="11">
      <c r="A11" s="15" t="n">
        <v>46269</v>
      </c>
      <c r="B11" t="inlineStr">
        <is>
          <t>金</t>
        </is>
      </c>
      <c r="C11" t="inlineStr">
        <is>
          <t>Yahoo検索</t>
        </is>
      </c>
      <c r="D11" s="3" t="n">
        <v>1111</v>
      </c>
      <c r="E11" s="3" t="n">
        <v>60</v>
      </c>
      <c r="F11" s="4">
        <f>IFERROR(E11/D11,0)</f>
        <v/>
      </c>
      <c r="G11" s="5">
        <f>IFERROR(H11/E11,0)</f>
        <v/>
      </c>
      <c r="H11" s="5" t="n">
        <v>3642.1</v>
      </c>
      <c r="I11" s="5">
        <f>H11*設定!$B$3</f>
        <v/>
      </c>
      <c r="J11" s="6" t="n">
        <v>0</v>
      </c>
      <c r="K11" s="4">
        <f>IFERROR(J11/E11,0)</f>
        <v/>
      </c>
      <c r="L11" s="5">
        <f>IFERROR(I11/J11,"-")</f>
        <v/>
      </c>
      <c r="M11" s="3" t="n">
        <v>0</v>
      </c>
      <c r="N11" s="4">
        <f>IFERROR(M11/E11,0)</f>
        <v/>
      </c>
      <c r="O11" s="5">
        <f>IFERROR(I11/M11,"-")</f>
        <v/>
      </c>
      <c r="P11" s="5" t="n">
        <v>0</v>
      </c>
      <c r="Q11" s="7">
        <f>IFERROR(P11/I11,"-")</f>
        <v/>
      </c>
    </row>
    <row r="12">
      <c r="A12" s="15" t="n">
        <v>46270</v>
      </c>
      <c r="B12" t="inlineStr">
        <is>
          <t>土</t>
        </is>
      </c>
      <c r="C12" t="inlineStr">
        <is>
          <t>Google</t>
        </is>
      </c>
      <c r="D12" s="3" t="n">
        <v>11036</v>
      </c>
      <c r="E12" s="3" t="n">
        <v>302</v>
      </c>
      <c r="F12" s="4">
        <f>IFERROR(E12/D12,0)</f>
        <v/>
      </c>
      <c r="G12" s="5">
        <f>IFERROR(H12/E12,0)</f>
        <v/>
      </c>
      <c r="H12" s="5" t="n">
        <v>14109.47</v>
      </c>
      <c r="I12" s="5">
        <f>H12*設定!$B$3</f>
        <v/>
      </c>
      <c r="J12" s="6" t="n">
        <v>70</v>
      </c>
      <c r="K12" s="4">
        <f>IFERROR(J12/E12,0)</f>
        <v/>
      </c>
      <c r="L12" s="5">
        <f>IFERROR(I12/J12,"-")</f>
        <v/>
      </c>
      <c r="M12" s="3" t="n">
        <v>0</v>
      </c>
      <c r="N12" s="4">
        <f>IFERROR(M12/E12,0)</f>
        <v/>
      </c>
      <c r="O12" s="5">
        <f>IFERROR(I12/M12,"-")</f>
        <v/>
      </c>
      <c r="P12" s="5" t="n">
        <v>0</v>
      </c>
      <c r="Q12" s="7">
        <f>IFERROR(P12/I12,"-")</f>
        <v/>
      </c>
    </row>
    <row r="13">
      <c r="A13" s="15" t="n">
        <v>46270</v>
      </c>
      <c r="B13" t="inlineStr">
        <is>
          <t>土</t>
        </is>
      </c>
      <c r="C13" t="inlineStr">
        <is>
          <t>Yahoo検索</t>
        </is>
      </c>
      <c r="D13" s="3" t="n">
        <v>348</v>
      </c>
      <c r="E13" s="3" t="n">
        <v>13</v>
      </c>
      <c r="F13" s="4">
        <f>IFERROR(E13/D13,0)</f>
        <v/>
      </c>
      <c r="G13" s="5">
        <f>IFERROR(H13/E13,0)</f>
        <v/>
      </c>
      <c r="H13" s="5" t="n">
        <v>1071.4</v>
      </c>
      <c r="I13" s="5">
        <f>H13*設定!$B$3</f>
        <v/>
      </c>
      <c r="J13" s="6" t="n">
        <v>0</v>
      </c>
      <c r="K13" s="4">
        <f>IFERROR(J13/E13,0)</f>
        <v/>
      </c>
      <c r="L13" s="5">
        <f>IFERROR(I13/J13,"-")</f>
        <v/>
      </c>
      <c r="M13" s="3" t="n">
        <v>0</v>
      </c>
      <c r="N13" s="4">
        <f>IFERROR(M13/E13,0)</f>
        <v/>
      </c>
      <c r="O13" s="5">
        <f>IFERROR(I13/M13,"-")</f>
        <v/>
      </c>
      <c r="P13" s="5" t="n">
        <v>0</v>
      </c>
      <c r="Q13" s="7">
        <f>IFERROR(P13/I13,"-")</f>
        <v/>
      </c>
    </row>
    <row r="14">
      <c r="A14" s="15" t="n">
        <v>46271</v>
      </c>
      <c r="B14" t="inlineStr">
        <is>
          <t>日</t>
        </is>
      </c>
      <c r="C14" t="inlineStr">
        <is>
          <t>Google</t>
        </is>
      </c>
      <c r="D14" s="3" t="n">
        <v>10479</v>
      </c>
      <c r="E14" s="3" t="n">
        <v>337</v>
      </c>
      <c r="F14" s="4">
        <f>IFERROR(E14/D14,0)</f>
        <v/>
      </c>
      <c r="G14" s="5">
        <f>IFERROR(H14/E14,0)</f>
        <v/>
      </c>
      <c r="H14" s="5" t="n">
        <v>23795.64</v>
      </c>
      <c r="I14" s="5">
        <f>H14*設定!$B$3</f>
        <v/>
      </c>
      <c r="J14" s="6" t="n">
        <v>75</v>
      </c>
      <c r="K14" s="4">
        <f>IFERROR(J14/E14,0)</f>
        <v/>
      </c>
      <c r="L14" s="5">
        <f>IFERROR(I14/J14,"-")</f>
        <v/>
      </c>
      <c r="M14" s="3" t="n">
        <v>0</v>
      </c>
      <c r="N14" s="4">
        <f>IFERROR(M14/E14,0)</f>
        <v/>
      </c>
      <c r="O14" s="5">
        <f>IFERROR(I14/M14,"-")</f>
        <v/>
      </c>
      <c r="P14" s="5" t="n">
        <v>0</v>
      </c>
      <c r="Q14" s="7">
        <f>IFERROR(P14/I14,"-")</f>
        <v/>
      </c>
    </row>
    <row r="15">
      <c r="A15" s="15" t="n">
        <v>46271</v>
      </c>
      <c r="B15" t="inlineStr">
        <is>
          <t>日</t>
        </is>
      </c>
      <c r="C15" t="inlineStr">
        <is>
          <t>Yahoo検索</t>
        </is>
      </c>
      <c r="D15" s="3" t="n">
        <v>566</v>
      </c>
      <c r="E15" s="3" t="n">
        <v>13</v>
      </c>
      <c r="F15" s="4">
        <f>IFERROR(E15/D15,0)</f>
        <v/>
      </c>
      <c r="G15" s="5">
        <f>IFERROR(H15/E15,0)</f>
        <v/>
      </c>
      <c r="H15" s="5" t="n">
        <v>991.1</v>
      </c>
      <c r="I15" s="5">
        <f>H15*設定!$B$3</f>
        <v/>
      </c>
      <c r="J15" s="6" t="n">
        <v>0</v>
      </c>
      <c r="K15" s="4">
        <f>IFERROR(J15/E15,0)</f>
        <v/>
      </c>
      <c r="L15" s="5">
        <f>IFERROR(I15/J15,"-")</f>
        <v/>
      </c>
      <c r="M15" s="3" t="n">
        <v>0</v>
      </c>
      <c r="N15" s="4">
        <f>IFERROR(M15/E15,0)</f>
        <v/>
      </c>
      <c r="O15" s="5">
        <f>IFERROR(I15/M15,"-")</f>
        <v/>
      </c>
      <c r="P15" s="5" t="n">
        <v>0</v>
      </c>
      <c r="Q15" s="7">
        <f>IFERROR(P15/I15,"-")</f>
        <v/>
      </c>
    </row>
    <row r="16">
      <c r="A16" s="15" t="n">
        <v>46272</v>
      </c>
      <c r="B16" t="inlineStr">
        <is>
          <t>月</t>
        </is>
      </c>
      <c r="C16" t="inlineStr">
        <is>
          <t>Google</t>
        </is>
      </c>
      <c r="D16" s="3" t="n">
        <v>10576</v>
      </c>
      <c r="E16" s="3" t="n">
        <v>375</v>
      </c>
      <c r="F16" s="4">
        <f>IFERROR(E16/D16,0)</f>
        <v/>
      </c>
      <c r="G16" s="5">
        <f>IFERROR(H16/E16,0)</f>
        <v/>
      </c>
      <c r="H16" s="5" t="n">
        <v>26414.68</v>
      </c>
      <c r="I16" s="5">
        <f>H16*設定!$B$3</f>
        <v/>
      </c>
      <c r="J16" s="6" t="n">
        <v>59</v>
      </c>
      <c r="K16" s="4">
        <f>IFERROR(J16/E16,0)</f>
        <v/>
      </c>
      <c r="L16" s="5">
        <f>IFERROR(I16/J16,"-")</f>
        <v/>
      </c>
      <c r="M16" s="3" t="n">
        <v>1</v>
      </c>
      <c r="N16" s="4">
        <f>IFERROR(M16/E16,0)</f>
        <v/>
      </c>
      <c r="O16" s="5">
        <f>IFERROR(I16/M16,"-")</f>
        <v/>
      </c>
      <c r="P16" s="5" t="n">
        <v>209000</v>
      </c>
      <c r="Q16" s="7">
        <f>IFERROR(P16/I16,"-")</f>
        <v/>
      </c>
    </row>
    <row r="17">
      <c r="A17" s="15" t="n">
        <v>46272</v>
      </c>
      <c r="B17" t="inlineStr">
        <is>
          <t>月</t>
        </is>
      </c>
      <c r="C17" t="inlineStr">
        <is>
          <t>Yahoo検索</t>
        </is>
      </c>
      <c r="D17" s="3" t="n">
        <v>1145</v>
      </c>
      <c r="E17" s="3" t="n">
        <v>51</v>
      </c>
      <c r="F17" s="4">
        <f>IFERROR(E17/D17,0)</f>
        <v/>
      </c>
      <c r="G17" s="5">
        <f>IFERROR(H17/E17,0)</f>
        <v/>
      </c>
      <c r="H17" s="5" t="n">
        <v>3789.5</v>
      </c>
      <c r="I17" s="5">
        <f>H17*設定!$B$3</f>
        <v/>
      </c>
      <c r="J17" s="6" t="n">
        <v>0</v>
      </c>
      <c r="K17" s="4">
        <f>IFERROR(J17/E17,0)</f>
        <v/>
      </c>
      <c r="L17" s="5">
        <f>IFERROR(I17/J17,"-")</f>
        <v/>
      </c>
      <c r="M17" s="3" t="n">
        <v>0</v>
      </c>
      <c r="N17" s="4">
        <f>IFERROR(M17/E17,0)</f>
        <v/>
      </c>
      <c r="O17" s="5">
        <f>IFERROR(I17/M17,"-")</f>
        <v/>
      </c>
      <c r="P17" s="5" t="n">
        <v>0</v>
      </c>
      <c r="Q17" s="7">
        <f>IFERROR(P17/I17,"-")</f>
        <v/>
      </c>
    </row>
    <row r="18">
      <c r="A18" s="15" t="n">
        <v>46273</v>
      </c>
      <c r="B18" t="inlineStr">
        <is>
          <t>火</t>
        </is>
      </c>
      <c r="C18" t="inlineStr">
        <is>
          <t>Google</t>
        </is>
      </c>
      <c r="D18" s="3" t="n">
        <v>13228</v>
      </c>
      <c r="E18" s="3" t="n">
        <v>306</v>
      </c>
      <c r="F18" s="4">
        <f>IFERROR(E18/D18,0)</f>
        <v/>
      </c>
      <c r="G18" s="5">
        <f>IFERROR(H18/E18,0)</f>
        <v/>
      </c>
      <c r="H18" s="5" t="n">
        <v>27115.28</v>
      </c>
      <c r="I18" s="5">
        <f>H18*設定!$B$3</f>
        <v/>
      </c>
      <c r="J18" s="6" t="n">
        <v>47</v>
      </c>
      <c r="K18" s="4">
        <f>IFERROR(J18/E18,0)</f>
        <v/>
      </c>
      <c r="L18" s="5">
        <f>IFERROR(I18/J18,"-")</f>
        <v/>
      </c>
      <c r="M18" s="3" t="n">
        <v>2</v>
      </c>
      <c r="N18" s="4">
        <f>IFERROR(M18/E18,0)</f>
        <v/>
      </c>
      <c r="O18" s="5">
        <f>IFERROR(I18/M18,"-")</f>
        <v/>
      </c>
      <c r="P18" s="5" t="n">
        <v>417998</v>
      </c>
      <c r="Q18" s="7">
        <f>IFERROR(P18/I18,"-")</f>
        <v/>
      </c>
    </row>
    <row r="19">
      <c r="A19" s="15" t="n">
        <v>46273</v>
      </c>
      <c r="B19" t="inlineStr">
        <is>
          <t>火</t>
        </is>
      </c>
      <c r="C19" t="inlineStr">
        <is>
          <t>Yahoo検索</t>
        </is>
      </c>
      <c r="D19" s="3" t="n">
        <v>1202</v>
      </c>
      <c r="E19" s="3" t="n">
        <v>60</v>
      </c>
      <c r="F19" s="4">
        <f>IFERROR(E19/D19,0)</f>
        <v/>
      </c>
      <c r="G19" s="5">
        <f>IFERROR(H19/E19,0)</f>
        <v/>
      </c>
      <c r="H19" s="5" t="n">
        <v>5765.1</v>
      </c>
      <c r="I19" s="5">
        <f>H19*設定!$B$3</f>
        <v/>
      </c>
      <c r="J19" s="6" t="n">
        <v>0</v>
      </c>
      <c r="K19" s="4">
        <f>IFERROR(J19/E19,0)</f>
        <v/>
      </c>
      <c r="L19" s="5">
        <f>IFERROR(I19/J19,"-")</f>
        <v/>
      </c>
      <c r="M19" s="3" t="n">
        <v>0</v>
      </c>
      <c r="N19" s="4">
        <f>IFERROR(M19/E19,0)</f>
        <v/>
      </c>
      <c r="O19" s="5">
        <f>IFERROR(I19/M19,"-")</f>
        <v/>
      </c>
      <c r="P19" s="5" t="n">
        <v>0</v>
      </c>
      <c r="Q19" s="7">
        <f>IFERROR(P19/I19,"-")</f>
        <v/>
      </c>
    </row>
    <row r="20">
      <c r="A20" s="15" t="n">
        <v>46274</v>
      </c>
      <c r="B20" t="inlineStr">
        <is>
          <t>水</t>
        </is>
      </c>
      <c r="C20" t="inlineStr">
        <is>
          <t>Google</t>
        </is>
      </c>
      <c r="D20" s="3" t="n">
        <v>21817</v>
      </c>
      <c r="E20" s="3" t="n">
        <v>432</v>
      </c>
      <c r="F20" s="4">
        <f>IFERROR(E20/D20,0)</f>
        <v/>
      </c>
      <c r="G20" s="5">
        <f>IFERROR(H20/E20,0)</f>
        <v/>
      </c>
      <c r="H20" s="5" t="n">
        <v>30649.62</v>
      </c>
      <c r="I20" s="5">
        <f>H20*設定!$B$3</f>
        <v/>
      </c>
      <c r="J20" s="6" t="n">
        <v>59.57</v>
      </c>
      <c r="K20" s="4">
        <f>IFERROR(J20/E20,0)</f>
        <v/>
      </c>
      <c r="L20" s="5">
        <f>IFERROR(I20/J20,"-")</f>
        <v/>
      </c>
      <c r="M20" s="3" t="n">
        <v>1</v>
      </c>
      <c r="N20" s="4">
        <f>IFERROR(M20/E20,0)</f>
        <v/>
      </c>
      <c r="O20" s="5">
        <f>IFERROR(I20/M20,"-")</f>
        <v/>
      </c>
      <c r="P20" s="5" t="n">
        <v>208999</v>
      </c>
      <c r="Q20" s="7">
        <f>IFERROR(P20/I20,"-")</f>
        <v/>
      </c>
    </row>
    <row r="21">
      <c r="A21" s="15" t="n">
        <v>46274</v>
      </c>
      <c r="B21" t="inlineStr">
        <is>
          <t>水</t>
        </is>
      </c>
      <c r="C21" t="inlineStr">
        <is>
          <t>Yahoo検索</t>
        </is>
      </c>
      <c r="D21" s="3" t="n">
        <v>1230</v>
      </c>
      <c r="E21" s="3" t="n">
        <v>42</v>
      </c>
      <c r="F21" s="4">
        <f>IFERROR(E21/D21,0)</f>
        <v/>
      </c>
      <c r="G21" s="5">
        <f>IFERROR(H21/E21,0)</f>
        <v/>
      </c>
      <c r="H21" s="5" t="n">
        <v>3411.1</v>
      </c>
      <c r="I21" s="5">
        <f>H21*設定!$B$3</f>
        <v/>
      </c>
      <c r="J21" s="6" t="n">
        <v>1</v>
      </c>
      <c r="K21" s="4">
        <f>IFERROR(J21/E21,0)</f>
        <v/>
      </c>
      <c r="L21" s="5">
        <f>IFERROR(I21/J21,"-")</f>
        <v/>
      </c>
      <c r="M21" s="3" t="n">
        <v>0</v>
      </c>
      <c r="N21" s="4">
        <f>IFERROR(M21/E21,0)</f>
        <v/>
      </c>
      <c r="O21" s="5">
        <f>IFERROR(I21/M21,"-")</f>
        <v/>
      </c>
      <c r="P21" s="5" t="n">
        <v>0</v>
      </c>
      <c r="Q21" s="7">
        <f>IFERROR(P21/I21,"-")</f>
        <v/>
      </c>
    </row>
    <row r="22">
      <c r="A22" s="15" t="n">
        <v>46275</v>
      </c>
      <c r="B22" t="inlineStr">
        <is>
          <t>木</t>
        </is>
      </c>
      <c r="C22" t="inlineStr">
        <is>
          <t>Google</t>
        </is>
      </c>
      <c r="D22" s="3" t="n">
        <v>17188</v>
      </c>
      <c r="E22" s="3" t="n">
        <v>392</v>
      </c>
      <c r="F22" s="4">
        <f>IFERROR(E22/D22,0)</f>
        <v/>
      </c>
      <c r="G22" s="5">
        <f>IFERROR(H22/E22,0)</f>
        <v/>
      </c>
      <c r="H22" s="5" t="n">
        <v>29339.96</v>
      </c>
      <c r="I22" s="5">
        <f>H22*設定!$B$3</f>
        <v/>
      </c>
      <c r="J22" s="6" t="n">
        <v>46.8</v>
      </c>
      <c r="K22" s="4">
        <f>IFERROR(J22/E22,0)</f>
        <v/>
      </c>
      <c r="L22" s="5">
        <f>IFERROR(I22/J22,"-")</f>
        <v/>
      </c>
      <c r="M22" s="3" t="n">
        <v>1</v>
      </c>
      <c r="N22" s="4">
        <f>IFERROR(M22/E22,0)</f>
        <v/>
      </c>
      <c r="O22" s="5">
        <f>IFERROR(I22/M22,"-")</f>
        <v/>
      </c>
      <c r="P22" s="5" t="n">
        <v>209000</v>
      </c>
      <c r="Q22" s="7">
        <f>IFERROR(P22/I22,"-")</f>
        <v/>
      </c>
    </row>
    <row r="23">
      <c r="A23" s="15" t="n">
        <v>46275</v>
      </c>
      <c r="B23" t="inlineStr">
        <is>
          <t>木</t>
        </is>
      </c>
      <c r="C23" t="inlineStr">
        <is>
          <t>Yahoo検索</t>
        </is>
      </c>
      <c r="D23" s="3" t="n">
        <v>1146</v>
      </c>
      <c r="E23" s="3" t="n">
        <v>50</v>
      </c>
      <c r="F23" s="4">
        <f>IFERROR(E23/D23,0)</f>
        <v/>
      </c>
      <c r="G23" s="5">
        <f>IFERROR(H23/E23,0)</f>
        <v/>
      </c>
      <c r="H23" s="5" t="n">
        <v>3935.8</v>
      </c>
      <c r="I23" s="5">
        <f>H23*設定!$B$3</f>
        <v/>
      </c>
      <c r="J23" s="6" t="n">
        <v>0</v>
      </c>
      <c r="K23" s="4">
        <f>IFERROR(J23/E23,0)</f>
        <v/>
      </c>
      <c r="L23" s="5">
        <f>IFERROR(I23/J23,"-")</f>
        <v/>
      </c>
      <c r="M23" s="3" t="n">
        <v>1</v>
      </c>
      <c r="N23" s="4">
        <f>IFERROR(M23/E23,0)</f>
        <v/>
      </c>
      <c r="O23" s="5">
        <f>IFERROR(I23/M23,"-")</f>
        <v/>
      </c>
      <c r="P23" s="5" t="n">
        <v>209000</v>
      </c>
      <c r="Q23" s="7">
        <f>IFERROR(P23/I23,"-")</f>
        <v/>
      </c>
    </row>
    <row r="24">
      <c r="A24" s="15" t="n">
        <v>46276</v>
      </c>
      <c r="B24" t="inlineStr">
        <is>
          <t>金</t>
        </is>
      </c>
      <c r="C24" t="inlineStr">
        <is>
          <t>Google</t>
        </is>
      </c>
      <c r="D24" s="3" t="n">
        <v>49119</v>
      </c>
      <c r="E24" s="3" t="n">
        <v>679</v>
      </c>
      <c r="F24" s="4">
        <f>IFERROR(E24/D24,0)</f>
        <v/>
      </c>
      <c r="G24" s="5">
        <f>IFERROR(H24/E24,0)</f>
        <v/>
      </c>
      <c r="H24" s="5" t="n">
        <v>42043.2</v>
      </c>
      <c r="I24" s="5">
        <f>H24*設定!$B$3</f>
        <v/>
      </c>
      <c r="J24" s="6" t="n">
        <v>86</v>
      </c>
      <c r="K24" s="4">
        <f>IFERROR(J24/E24,0)</f>
        <v/>
      </c>
      <c r="L24" s="5">
        <f>IFERROR(I24/J24,"-")</f>
        <v/>
      </c>
      <c r="M24" s="3" t="n">
        <v>0</v>
      </c>
      <c r="N24" s="4">
        <f>IFERROR(M24/E24,0)</f>
        <v/>
      </c>
      <c r="O24" s="5">
        <f>IFERROR(I24/M24,"-")</f>
        <v/>
      </c>
      <c r="P24" s="5" t="n">
        <v>0</v>
      </c>
      <c r="Q24" s="7">
        <f>IFERROR(P24/I24,"-")</f>
        <v/>
      </c>
    </row>
    <row r="25">
      <c r="A25" s="15" t="n">
        <v>46276</v>
      </c>
      <c r="B25" t="inlineStr">
        <is>
          <t>金</t>
        </is>
      </c>
      <c r="C25" t="inlineStr">
        <is>
          <t>Yahoo検索</t>
        </is>
      </c>
      <c r="D25" s="3" t="n">
        <v>1075</v>
      </c>
      <c r="E25" s="3" t="n">
        <v>42</v>
      </c>
      <c r="F25" s="4">
        <f>IFERROR(E25/D25,0)</f>
        <v/>
      </c>
      <c r="G25" s="5">
        <f>IFERROR(H25/E25,0)</f>
        <v/>
      </c>
      <c r="H25" s="5" t="n">
        <v>3226.3</v>
      </c>
      <c r="I25" s="5">
        <f>H25*設定!$B$3</f>
        <v/>
      </c>
      <c r="J25" s="6" t="n">
        <v>0</v>
      </c>
      <c r="K25" s="4">
        <f>IFERROR(J25/E25,0)</f>
        <v/>
      </c>
      <c r="L25" s="5">
        <f>IFERROR(I25/J25,"-")</f>
        <v/>
      </c>
      <c r="M25" s="3" t="n">
        <v>0</v>
      </c>
      <c r="N25" s="4">
        <f>IFERROR(M25/E25,0)</f>
        <v/>
      </c>
      <c r="O25" s="5">
        <f>IFERROR(I25/M25,"-")</f>
        <v/>
      </c>
      <c r="P25" s="5" t="n">
        <v>0</v>
      </c>
      <c r="Q25" s="7">
        <f>IFERROR(P25/I25,"-")</f>
        <v/>
      </c>
    </row>
    <row r="26">
      <c r="A26" s="15" t="n">
        <v>46277</v>
      </c>
      <c r="B26" t="inlineStr">
        <is>
          <t>土</t>
        </is>
      </c>
      <c r="C26" t="inlineStr">
        <is>
          <t>Google</t>
        </is>
      </c>
      <c r="D26" s="3" t="n">
        <v>33566</v>
      </c>
      <c r="E26" s="3" t="n">
        <v>711</v>
      </c>
      <c r="F26" s="4">
        <f>IFERROR(E26/D26,0)</f>
        <v/>
      </c>
      <c r="G26" s="5">
        <f>IFERROR(H26/E26,0)</f>
        <v/>
      </c>
      <c r="H26" s="5" t="n">
        <v>23431.15</v>
      </c>
      <c r="I26" s="5">
        <f>H26*設定!$B$3</f>
        <v/>
      </c>
      <c r="J26" s="6" t="n">
        <v>67</v>
      </c>
      <c r="K26" s="4">
        <f>IFERROR(J26/E26,0)</f>
        <v/>
      </c>
      <c r="L26" s="5">
        <f>IFERROR(I26/J26,"-")</f>
        <v/>
      </c>
      <c r="M26" s="3" t="n">
        <v>0</v>
      </c>
      <c r="N26" s="4">
        <f>IFERROR(M26/E26,0)</f>
        <v/>
      </c>
      <c r="O26" s="5">
        <f>IFERROR(I26/M26,"-")</f>
        <v/>
      </c>
      <c r="P26" s="5" t="n">
        <v>0</v>
      </c>
      <c r="Q26" s="7">
        <f>IFERROR(P26/I26,"-")</f>
        <v/>
      </c>
    </row>
    <row r="27">
      <c r="A27" s="15" t="n">
        <v>46277</v>
      </c>
      <c r="B27" t="inlineStr">
        <is>
          <t>土</t>
        </is>
      </c>
      <c r="C27" t="inlineStr">
        <is>
          <t>Yahoo検索</t>
        </is>
      </c>
      <c r="D27" s="3" t="n">
        <v>359</v>
      </c>
      <c r="E27" s="3" t="n">
        <v>18</v>
      </c>
      <c r="F27" s="4">
        <f>IFERROR(E27/D27,0)</f>
        <v/>
      </c>
      <c r="G27" s="5">
        <f>IFERROR(H27/E27,0)</f>
        <v/>
      </c>
      <c r="H27" s="5" t="n">
        <v>1648.9</v>
      </c>
      <c r="I27" s="5">
        <f>H27*設定!$B$3</f>
        <v/>
      </c>
      <c r="J27" s="6" t="n">
        <v>0</v>
      </c>
      <c r="K27" s="4">
        <f>IFERROR(J27/E27,0)</f>
        <v/>
      </c>
      <c r="L27" s="5">
        <f>IFERROR(I27/J27,"-")</f>
        <v/>
      </c>
      <c r="M27" s="3" t="n">
        <v>0</v>
      </c>
      <c r="N27" s="4">
        <f>IFERROR(M27/E27,0)</f>
        <v/>
      </c>
      <c r="O27" s="5">
        <f>IFERROR(I27/M27,"-")</f>
        <v/>
      </c>
      <c r="P27" s="5" t="n">
        <v>0</v>
      </c>
      <c r="Q27" s="7">
        <f>IFERROR(P27/I27,"-")</f>
        <v/>
      </c>
    </row>
    <row r="28">
      <c r="A28" s="15" t="n">
        <v>46278</v>
      </c>
      <c r="B28" t="inlineStr">
        <is>
          <t>日</t>
        </is>
      </c>
      <c r="C28" t="inlineStr">
        <is>
          <t>Google</t>
        </is>
      </c>
      <c r="D28" s="3" t="n">
        <v>31675</v>
      </c>
      <c r="E28" s="3" t="n">
        <v>679</v>
      </c>
      <c r="F28" s="4">
        <f>IFERROR(E28/D28,0)</f>
        <v/>
      </c>
      <c r="G28" s="5">
        <f>IFERROR(H28/E28,0)</f>
        <v/>
      </c>
      <c r="H28" s="5" t="n">
        <v>24642.49</v>
      </c>
      <c r="I28" s="5">
        <f>H28*設定!$B$3</f>
        <v/>
      </c>
      <c r="J28" s="6" t="n">
        <v>95</v>
      </c>
      <c r="K28" s="4">
        <f>IFERROR(J28/E28,0)</f>
        <v/>
      </c>
      <c r="L28" s="5">
        <f>IFERROR(I28/J28,"-")</f>
        <v/>
      </c>
      <c r="M28" s="3" t="n">
        <v>0</v>
      </c>
      <c r="N28" s="4">
        <f>IFERROR(M28/E28,0)</f>
        <v/>
      </c>
      <c r="O28" s="5">
        <f>IFERROR(I28/M28,"-")</f>
        <v/>
      </c>
      <c r="P28" s="5" t="n">
        <v>0</v>
      </c>
      <c r="Q28" s="7">
        <f>IFERROR(P28/I28,"-")</f>
        <v/>
      </c>
    </row>
    <row r="29">
      <c r="A29" s="15" t="n">
        <v>46278</v>
      </c>
      <c r="B29" t="inlineStr">
        <is>
          <t>日</t>
        </is>
      </c>
      <c r="C29" t="inlineStr">
        <is>
          <t>Yahoo検索</t>
        </is>
      </c>
      <c r="D29" s="3" t="n">
        <v>471</v>
      </c>
      <c r="E29" s="3" t="n">
        <v>12</v>
      </c>
      <c r="F29" s="4">
        <f>IFERROR(E29/D29,0)</f>
        <v/>
      </c>
      <c r="G29" s="5">
        <f>IFERROR(H29/E29,0)</f>
        <v/>
      </c>
      <c r="H29" s="5" t="n">
        <v>849.2</v>
      </c>
      <c r="I29" s="5">
        <f>H29*設定!$B$3</f>
        <v/>
      </c>
      <c r="J29" s="6" t="n">
        <v>0</v>
      </c>
      <c r="K29" s="4">
        <f>IFERROR(J29/E29,0)</f>
        <v/>
      </c>
      <c r="L29" s="5">
        <f>IFERROR(I29/J29,"-")</f>
        <v/>
      </c>
      <c r="M29" s="3" t="n">
        <v>0</v>
      </c>
      <c r="N29" s="4">
        <f>IFERROR(M29/E29,0)</f>
        <v/>
      </c>
      <c r="O29" s="5">
        <f>IFERROR(I29/M29,"-")</f>
        <v/>
      </c>
      <c r="P29" s="5" t="n">
        <v>0</v>
      </c>
      <c r="Q29" s="7">
        <f>IFERROR(P29/I29,"-")</f>
        <v/>
      </c>
    </row>
    <row r="30">
      <c r="A30" s="15" t="n">
        <v>46279</v>
      </c>
      <c r="B30" t="inlineStr">
        <is>
          <t>月</t>
        </is>
      </c>
      <c r="C30" t="inlineStr">
        <is>
          <t>Google</t>
        </is>
      </c>
      <c r="D30" s="3" t="n">
        <v>29235</v>
      </c>
      <c r="E30" s="3" t="n">
        <v>517</v>
      </c>
      <c r="F30" s="4">
        <f>IFERROR(E30/D30,0)</f>
        <v/>
      </c>
      <c r="G30" s="5">
        <f>IFERROR(H30/E30,0)</f>
        <v/>
      </c>
      <c r="H30" s="5" t="n">
        <v>34684.68</v>
      </c>
      <c r="I30" s="5">
        <f>H30*設定!$B$3</f>
        <v/>
      </c>
      <c r="J30" s="6" t="n">
        <v>50.39</v>
      </c>
      <c r="K30" s="4">
        <f>IFERROR(J30/E30,0)</f>
        <v/>
      </c>
      <c r="L30" s="5">
        <f>IFERROR(I30/J30,"-")</f>
        <v/>
      </c>
      <c r="M30" s="3" t="n">
        <v>3</v>
      </c>
      <c r="N30" s="4">
        <f>IFERROR(M30/E30,0)</f>
        <v/>
      </c>
      <c r="O30" s="5">
        <f>IFERROR(I30/M30,"-")</f>
        <v/>
      </c>
      <c r="P30" s="5" t="n">
        <v>626998</v>
      </c>
      <c r="Q30" s="7">
        <f>IFERROR(P30/I30,"-")</f>
        <v/>
      </c>
    </row>
    <row r="31">
      <c r="A31" s="15" t="n">
        <v>46279</v>
      </c>
      <c r="B31" t="inlineStr">
        <is>
          <t>月</t>
        </is>
      </c>
      <c r="C31" t="inlineStr">
        <is>
          <t>Yahoo検索</t>
        </is>
      </c>
      <c r="D31" s="3" t="n">
        <v>1096</v>
      </c>
      <c r="E31" s="3" t="n">
        <v>47</v>
      </c>
      <c r="F31" s="4">
        <f>IFERROR(E31/D31,0)</f>
        <v/>
      </c>
      <c r="G31" s="5">
        <f>IFERROR(H31/E31,0)</f>
        <v/>
      </c>
      <c r="H31" s="5" t="n">
        <v>3580.5</v>
      </c>
      <c r="I31" s="5">
        <f>H31*設定!$B$3</f>
        <v/>
      </c>
      <c r="J31" s="6" t="n">
        <v>2</v>
      </c>
      <c r="K31" s="4">
        <f>IFERROR(J31/E31,0)</f>
        <v/>
      </c>
      <c r="L31" s="5">
        <f>IFERROR(I31/J31,"-")</f>
        <v/>
      </c>
      <c r="M31" s="3" t="n">
        <v>1</v>
      </c>
      <c r="N31" s="4">
        <f>IFERROR(M31/E31,0)</f>
        <v/>
      </c>
      <c r="O31" s="5">
        <f>IFERROR(I31/M31,"-")</f>
        <v/>
      </c>
      <c r="P31" s="5" t="n">
        <v>208999</v>
      </c>
      <c r="Q31" s="7">
        <f>IFERROR(P31/I31,"-")</f>
        <v/>
      </c>
    </row>
    <row r="32">
      <c r="A32" s="15" t="n">
        <v>46280</v>
      </c>
      <c r="B32" t="inlineStr">
        <is>
          <t>火</t>
        </is>
      </c>
      <c r="C32" t="inlineStr">
        <is>
          <t>Google</t>
        </is>
      </c>
      <c r="D32" s="3" t="n">
        <v>39086</v>
      </c>
      <c r="E32" s="3" t="n">
        <v>675</v>
      </c>
      <c r="F32" s="4">
        <f>IFERROR(E32/D32,0)</f>
        <v/>
      </c>
      <c r="G32" s="5">
        <f>IFERROR(H32/E32,0)</f>
        <v/>
      </c>
      <c r="H32" s="5" t="n">
        <v>40368.74</v>
      </c>
      <c r="I32" s="5">
        <f>H32*設定!$B$3</f>
        <v/>
      </c>
      <c r="J32" s="6" t="n">
        <v>17</v>
      </c>
      <c r="K32" s="4">
        <f>IFERROR(J32/E32,0)</f>
        <v/>
      </c>
      <c r="L32" s="5">
        <f>IFERROR(I32/J32,"-")</f>
        <v/>
      </c>
      <c r="M32" s="3" t="n">
        <v>0</v>
      </c>
      <c r="N32" s="4">
        <f>IFERROR(M32/E32,0)</f>
        <v/>
      </c>
      <c r="O32" s="5">
        <f>IFERROR(I32/M32,"-")</f>
        <v/>
      </c>
      <c r="P32" s="5" t="n">
        <v>0</v>
      </c>
      <c r="Q32" s="7">
        <f>IFERROR(P32/I32,"-")</f>
        <v/>
      </c>
    </row>
    <row r="33">
      <c r="A33" s="15" t="n">
        <v>46280</v>
      </c>
      <c r="B33" t="inlineStr">
        <is>
          <t>火</t>
        </is>
      </c>
      <c r="C33" t="inlineStr">
        <is>
          <t>Yahoo検索</t>
        </is>
      </c>
      <c r="D33" s="3" t="n">
        <v>1268</v>
      </c>
      <c r="E33" s="3" t="n">
        <v>59</v>
      </c>
      <c r="F33" s="4">
        <f>IFERROR(E33/D33,0)</f>
        <v/>
      </c>
      <c r="G33" s="5">
        <f>IFERROR(H33/E33,0)</f>
        <v/>
      </c>
      <c r="H33" s="5" t="n">
        <v>4913.7</v>
      </c>
      <c r="I33" s="5">
        <f>H33*設定!$B$3</f>
        <v/>
      </c>
      <c r="J33" s="6" t="n">
        <v>0</v>
      </c>
      <c r="K33" s="4">
        <f>IFERROR(J33/E33,0)</f>
        <v/>
      </c>
      <c r="L33" s="5">
        <f>IFERROR(I33/J33,"-")</f>
        <v/>
      </c>
      <c r="M33" s="3" t="n">
        <v>0</v>
      </c>
      <c r="N33" s="4">
        <f>IFERROR(M33/E33,0)</f>
        <v/>
      </c>
      <c r="O33" s="5">
        <f>IFERROR(I33/M33,"-")</f>
        <v/>
      </c>
      <c r="P33" s="5" t="n">
        <v>0</v>
      </c>
      <c r="Q33" s="7">
        <f>IFERROR(P33/I33,"-")</f>
        <v/>
      </c>
    </row>
    <row r="34">
      <c r="A34" s="15" t="n">
        <v>46281</v>
      </c>
      <c r="B34" t="inlineStr">
        <is>
          <t>水</t>
        </is>
      </c>
      <c r="C34" t="inlineStr">
        <is>
          <t>Google</t>
        </is>
      </c>
      <c r="D34" s="3" t="n">
        <v>33997</v>
      </c>
      <c r="E34" s="3" t="n">
        <v>805</v>
      </c>
      <c r="F34" s="4">
        <f>IFERROR(E34/D34,0)</f>
        <v/>
      </c>
      <c r="G34" s="5">
        <f>IFERROR(H34/E34,0)</f>
        <v/>
      </c>
      <c r="H34" s="5" t="n">
        <v>47631.83</v>
      </c>
      <c r="I34" s="5">
        <f>H34*設定!$B$3</f>
        <v/>
      </c>
      <c r="J34" s="6" t="n">
        <v>55</v>
      </c>
      <c r="K34" s="4">
        <f>IFERROR(J34/E34,0)</f>
        <v/>
      </c>
      <c r="L34" s="5">
        <f>IFERROR(I34/J34,"-")</f>
        <v/>
      </c>
      <c r="M34" s="3" t="n">
        <v>4</v>
      </c>
      <c r="N34" s="4">
        <f>IFERROR(M34/E34,0)</f>
        <v/>
      </c>
      <c r="O34" s="5">
        <f>IFERROR(I34/M34,"-")</f>
        <v/>
      </c>
      <c r="P34" s="5" t="n">
        <v>836000</v>
      </c>
      <c r="Q34" s="7">
        <f>IFERROR(P34/I34,"-")</f>
        <v/>
      </c>
    </row>
    <row r="35">
      <c r="A35" s="15" t="n">
        <v>46281</v>
      </c>
      <c r="B35" t="inlineStr">
        <is>
          <t>水</t>
        </is>
      </c>
      <c r="C35" t="inlineStr">
        <is>
          <t>Yahoo検索</t>
        </is>
      </c>
      <c r="D35" s="3" t="n">
        <v>1204</v>
      </c>
      <c r="E35" s="3" t="n">
        <v>48</v>
      </c>
      <c r="F35" s="4">
        <f>IFERROR(E35/D35,0)</f>
        <v/>
      </c>
      <c r="G35" s="5">
        <f>IFERROR(H35/E35,0)</f>
        <v/>
      </c>
      <c r="H35" s="5" t="n">
        <v>3744.4</v>
      </c>
      <c r="I35" s="5">
        <f>H35*設定!$B$3</f>
        <v/>
      </c>
      <c r="J35" s="6" t="n">
        <v>1</v>
      </c>
      <c r="K35" s="4">
        <f>IFERROR(J35/E35,0)</f>
        <v/>
      </c>
      <c r="L35" s="5">
        <f>IFERROR(I35/J35,"-")</f>
        <v/>
      </c>
      <c r="M35" s="3" t="n">
        <v>0</v>
      </c>
      <c r="N35" s="4">
        <f>IFERROR(M35/E35,0)</f>
        <v/>
      </c>
      <c r="O35" s="5">
        <f>IFERROR(I35/M35,"-")</f>
        <v/>
      </c>
      <c r="P35" s="5" t="n">
        <v>0</v>
      </c>
      <c r="Q35" s="7">
        <f>IFERROR(P35/I35,"-")</f>
        <v/>
      </c>
    </row>
    <row r="36">
      <c r="A36" s="15" t="n">
        <v>46282</v>
      </c>
      <c r="B36" t="inlineStr">
        <is>
          <t>木</t>
        </is>
      </c>
      <c r="C36" t="inlineStr">
        <is>
          <t>Google</t>
        </is>
      </c>
      <c r="D36" s="3" t="n">
        <v>37205</v>
      </c>
      <c r="E36" s="3" t="n">
        <v>760</v>
      </c>
      <c r="F36" s="4">
        <f>IFERROR(E36/D36,0)</f>
        <v/>
      </c>
      <c r="G36" s="5">
        <f>IFERROR(H36/E36,0)</f>
        <v/>
      </c>
      <c r="H36" s="5" t="n">
        <v>47343.04</v>
      </c>
      <c r="I36" s="5">
        <f>H36*設定!$B$3</f>
        <v/>
      </c>
      <c r="J36" s="6" t="n">
        <v>32</v>
      </c>
      <c r="K36" s="4">
        <f>IFERROR(J36/E36,0)</f>
        <v/>
      </c>
      <c r="L36" s="5">
        <f>IFERROR(I36/J36,"-")</f>
        <v/>
      </c>
      <c r="M36" s="3" t="n">
        <v>0</v>
      </c>
      <c r="N36" s="4">
        <f>IFERROR(M36/E36,0)</f>
        <v/>
      </c>
      <c r="O36" s="5">
        <f>IFERROR(I36/M36,"-")</f>
        <v/>
      </c>
      <c r="P36" s="5" t="n">
        <v>0</v>
      </c>
      <c r="Q36" s="7">
        <f>IFERROR(P36/I36,"-")</f>
        <v/>
      </c>
    </row>
    <row r="37">
      <c r="A37" s="15" t="n">
        <v>46282</v>
      </c>
      <c r="B37" t="inlineStr">
        <is>
          <t>木</t>
        </is>
      </c>
      <c r="C37" t="inlineStr">
        <is>
          <t>Yahoo検索</t>
        </is>
      </c>
      <c r="D37" s="3" t="n">
        <v>1209</v>
      </c>
      <c r="E37" s="3" t="n">
        <v>45</v>
      </c>
      <c r="F37" s="4">
        <f>IFERROR(E37/D37,0)</f>
        <v/>
      </c>
      <c r="G37" s="5">
        <f>IFERROR(H37/E37,0)</f>
        <v/>
      </c>
      <c r="H37" s="5" t="n">
        <v>3118.5</v>
      </c>
      <c r="I37" s="5">
        <f>H37*設定!$B$3</f>
        <v/>
      </c>
      <c r="J37" s="6" t="n">
        <v>0</v>
      </c>
      <c r="K37" s="4">
        <f>IFERROR(J37/E37,0)</f>
        <v/>
      </c>
      <c r="L37" s="5">
        <f>IFERROR(I37/J37,"-")</f>
        <v/>
      </c>
      <c r="M37" s="3" t="n">
        <v>0</v>
      </c>
      <c r="N37" s="4">
        <f>IFERROR(M37/E37,0)</f>
        <v/>
      </c>
      <c r="O37" s="5">
        <f>IFERROR(I37/M37,"-")</f>
        <v/>
      </c>
      <c r="P37" s="5" t="n">
        <v>0</v>
      </c>
      <c r="Q37" s="7">
        <f>IFERROR(P37/I37,"-")</f>
        <v/>
      </c>
    </row>
    <row r="38">
      <c r="A38" s="15" t="n">
        <v>46283</v>
      </c>
      <c r="B38" t="inlineStr">
        <is>
          <t>金</t>
        </is>
      </c>
      <c r="C38" t="inlineStr">
        <is>
          <t>Google</t>
        </is>
      </c>
      <c r="D38" s="3" t="n">
        <v>19115</v>
      </c>
      <c r="E38" s="3" t="n">
        <v>493</v>
      </c>
      <c r="F38" s="4">
        <f>IFERROR(E38/D38,0)</f>
        <v/>
      </c>
      <c r="G38" s="5">
        <f>IFERROR(H38/E38,0)</f>
        <v/>
      </c>
      <c r="H38" s="5" t="n">
        <v>33895.22</v>
      </c>
      <c r="I38" s="5">
        <f>H38*設定!$B$3</f>
        <v/>
      </c>
      <c r="J38" s="6" t="n">
        <v>47</v>
      </c>
      <c r="K38" s="4">
        <f>IFERROR(J38/E38,0)</f>
        <v/>
      </c>
      <c r="L38" s="5">
        <f>IFERROR(I38/J38,"-")</f>
        <v/>
      </c>
      <c r="M38" s="3" t="n">
        <v>0</v>
      </c>
      <c r="N38" s="4">
        <f>IFERROR(M38/E38,0)</f>
        <v/>
      </c>
      <c r="O38" s="5">
        <f>IFERROR(I38/M38,"-")</f>
        <v/>
      </c>
      <c r="P38" s="5" t="n">
        <v>0</v>
      </c>
      <c r="Q38" s="7">
        <f>IFERROR(P38/I38,"-")</f>
        <v/>
      </c>
    </row>
    <row r="39">
      <c r="A39" s="15" t="n">
        <v>46283</v>
      </c>
      <c r="B39" t="inlineStr">
        <is>
          <t>金</t>
        </is>
      </c>
      <c r="C39" t="inlineStr">
        <is>
          <t>Yahoo検索</t>
        </is>
      </c>
      <c r="D39" s="3" t="n">
        <v>1176</v>
      </c>
      <c r="E39" s="3" t="n">
        <v>32</v>
      </c>
      <c r="F39" s="4">
        <f>IFERROR(E39/D39,0)</f>
        <v/>
      </c>
      <c r="G39" s="5">
        <f>IFERROR(H39/E39,0)</f>
        <v/>
      </c>
      <c r="H39" s="5" t="n">
        <v>2443.1</v>
      </c>
      <c r="I39" s="5">
        <f>H39*設定!$B$3</f>
        <v/>
      </c>
      <c r="J39" s="6" t="n">
        <v>0</v>
      </c>
      <c r="K39" s="4">
        <f>IFERROR(J39/E39,0)</f>
        <v/>
      </c>
      <c r="L39" s="5">
        <f>IFERROR(I39/J39,"-")</f>
        <v/>
      </c>
      <c r="M39" s="3" t="n">
        <v>0</v>
      </c>
      <c r="N39" s="4">
        <f>IFERROR(M39/E39,0)</f>
        <v/>
      </c>
      <c r="O39" s="5">
        <f>IFERROR(I39/M39,"-")</f>
        <v/>
      </c>
      <c r="P39" s="5" t="n">
        <v>0</v>
      </c>
      <c r="Q39" s="7">
        <f>IFERROR(P39/I39,"-")</f>
        <v/>
      </c>
    </row>
    <row r="40">
      <c r="A40" s="15" t="n">
        <v>46284</v>
      </c>
      <c r="B40" t="inlineStr">
        <is>
          <t>土</t>
        </is>
      </c>
      <c r="C40" t="inlineStr">
        <is>
          <t>Google</t>
        </is>
      </c>
      <c r="D40" s="3" t="n">
        <v>16581</v>
      </c>
      <c r="E40" s="3" t="n">
        <v>476</v>
      </c>
      <c r="F40" s="4">
        <f>IFERROR(E40/D40,0)</f>
        <v/>
      </c>
      <c r="G40" s="5">
        <f>IFERROR(H40/E40,0)</f>
        <v/>
      </c>
      <c r="H40" s="5" t="n">
        <v>15780.51</v>
      </c>
      <c r="I40" s="5">
        <f>H40*設定!$B$3</f>
        <v/>
      </c>
      <c r="J40" s="6" t="n">
        <v>73</v>
      </c>
      <c r="K40" s="4">
        <f>IFERROR(J40/E40,0)</f>
        <v/>
      </c>
      <c r="L40" s="5">
        <f>IFERROR(I40/J40,"-")</f>
        <v/>
      </c>
      <c r="M40" s="3" t="n">
        <v>0</v>
      </c>
      <c r="N40" s="4">
        <f>IFERROR(M40/E40,0)</f>
        <v/>
      </c>
      <c r="O40" s="5">
        <f>IFERROR(I40/M40,"-")</f>
        <v/>
      </c>
      <c r="P40" s="5" t="n">
        <v>0</v>
      </c>
      <c r="Q40" s="7">
        <f>IFERROR(P40/I40,"-")</f>
        <v/>
      </c>
    </row>
    <row r="41">
      <c r="A41" s="15" t="n">
        <v>46284</v>
      </c>
      <c r="B41" t="inlineStr">
        <is>
          <t>土</t>
        </is>
      </c>
      <c r="C41" t="inlineStr">
        <is>
          <t>Yahoo検索</t>
        </is>
      </c>
      <c r="D41" s="3" t="n">
        <v>452</v>
      </c>
      <c r="E41" s="3" t="n">
        <v>7</v>
      </c>
      <c r="F41" s="4">
        <f>IFERROR(E41/D41,0)</f>
        <v/>
      </c>
      <c r="G41" s="5">
        <f>IFERROR(H41/E41,0)</f>
        <v/>
      </c>
      <c r="H41" s="5" t="n">
        <v>625.9</v>
      </c>
      <c r="I41" s="5">
        <f>H41*設定!$B$3</f>
        <v/>
      </c>
      <c r="J41" s="6" t="n">
        <v>0</v>
      </c>
      <c r="K41" s="4">
        <f>IFERROR(J41/E41,0)</f>
        <v/>
      </c>
      <c r="L41" s="5">
        <f>IFERROR(I41/J41,"-")</f>
        <v/>
      </c>
      <c r="M41" s="3" t="n">
        <v>0</v>
      </c>
      <c r="N41" s="4">
        <f>IFERROR(M41/E41,0)</f>
        <v/>
      </c>
      <c r="O41" s="5">
        <f>IFERROR(I41/M41,"-")</f>
        <v/>
      </c>
      <c r="P41" s="5" t="n">
        <v>0</v>
      </c>
      <c r="Q41" s="7">
        <f>IFERROR(P41/I41,"-")</f>
        <v/>
      </c>
    </row>
    <row r="42">
      <c r="A42" s="15" t="n">
        <v>46285</v>
      </c>
      <c r="B42" t="inlineStr">
        <is>
          <t>日</t>
        </is>
      </c>
      <c r="C42" t="inlineStr">
        <is>
          <t>Google</t>
        </is>
      </c>
      <c r="D42" s="3" t="n">
        <v>48183</v>
      </c>
      <c r="E42" s="3" t="n">
        <v>984</v>
      </c>
      <c r="F42" s="4">
        <f>IFERROR(E42/D42,0)</f>
        <v/>
      </c>
      <c r="G42" s="5">
        <f>IFERROR(H42/E42,0)</f>
        <v/>
      </c>
      <c r="H42" s="5" t="n">
        <v>27072.35</v>
      </c>
      <c r="I42" s="5">
        <f>H42*設定!$B$3</f>
        <v/>
      </c>
      <c r="J42" s="6" t="n">
        <v>77</v>
      </c>
      <c r="K42" s="4">
        <f>IFERROR(J42/E42,0)</f>
        <v/>
      </c>
      <c r="L42" s="5">
        <f>IFERROR(I42/J42,"-")</f>
        <v/>
      </c>
      <c r="M42" s="3" t="n">
        <v>0</v>
      </c>
      <c r="N42" s="4">
        <f>IFERROR(M42/E42,0)</f>
        <v/>
      </c>
      <c r="O42" s="5">
        <f>IFERROR(I42/M42,"-")</f>
        <v/>
      </c>
      <c r="P42" s="5" t="n">
        <v>0</v>
      </c>
      <c r="Q42" s="7">
        <f>IFERROR(P42/I42,"-")</f>
        <v/>
      </c>
    </row>
    <row r="43">
      <c r="A43" s="15" t="n">
        <v>46285</v>
      </c>
      <c r="B43" t="inlineStr">
        <is>
          <t>日</t>
        </is>
      </c>
      <c r="C43" t="inlineStr">
        <is>
          <t>Yahoo検索</t>
        </is>
      </c>
      <c r="D43" s="3" t="n">
        <v>394</v>
      </c>
      <c r="E43" s="3" t="n">
        <v>8</v>
      </c>
      <c r="F43" s="4">
        <f>IFERROR(E43/D43,0)</f>
        <v/>
      </c>
      <c r="G43" s="5">
        <f>IFERROR(H43/E43,0)</f>
        <v/>
      </c>
      <c r="H43" s="5" t="n">
        <v>536.8</v>
      </c>
      <c r="I43" s="5">
        <f>H43*設定!$B$3</f>
        <v/>
      </c>
      <c r="J43" s="6" t="n">
        <v>0</v>
      </c>
      <c r="K43" s="4">
        <f>IFERROR(J43/E43,0)</f>
        <v/>
      </c>
      <c r="L43" s="5">
        <f>IFERROR(I43/J43,"-")</f>
        <v/>
      </c>
      <c r="M43" s="3" t="n">
        <v>0</v>
      </c>
      <c r="N43" s="4">
        <f>IFERROR(M43/E43,0)</f>
        <v/>
      </c>
      <c r="O43" s="5">
        <f>IFERROR(I43/M43,"-")</f>
        <v/>
      </c>
      <c r="P43" s="5" t="n">
        <v>0</v>
      </c>
      <c r="Q43" s="7">
        <f>IFERROR(P43/I43,"-")</f>
        <v/>
      </c>
    </row>
    <row r="44">
      <c r="A44" s="15" t="n">
        <v>46286</v>
      </c>
      <c r="B44" t="inlineStr">
        <is>
          <t>月</t>
        </is>
      </c>
      <c r="C44" t="inlineStr">
        <is>
          <t>Google</t>
        </is>
      </c>
      <c r="D44" s="3" t="n">
        <v>26706</v>
      </c>
      <c r="E44" s="3" t="n">
        <v>674</v>
      </c>
      <c r="F44" s="4">
        <f>IFERROR(E44/D44,0)</f>
        <v/>
      </c>
      <c r="G44" s="5">
        <f>IFERROR(H44/E44,0)</f>
        <v/>
      </c>
      <c r="H44" s="5" t="n">
        <v>26112.86</v>
      </c>
      <c r="I44" s="5">
        <f>H44*設定!$B$3</f>
        <v/>
      </c>
      <c r="J44" s="6" t="n">
        <v>66</v>
      </c>
      <c r="K44" s="4">
        <f>IFERROR(J44/E44,0)</f>
        <v/>
      </c>
      <c r="L44" s="5">
        <f>IFERROR(I44/J44,"-")</f>
        <v/>
      </c>
      <c r="M44" s="3" t="n">
        <v>0</v>
      </c>
      <c r="N44" s="4">
        <f>IFERROR(M44/E44,0)</f>
        <v/>
      </c>
      <c r="O44" s="5">
        <f>IFERROR(I44/M44,"-")</f>
        <v/>
      </c>
      <c r="P44" s="5" t="n">
        <v>0</v>
      </c>
      <c r="Q44" s="7">
        <f>IFERROR(P44/I44,"-")</f>
        <v/>
      </c>
    </row>
    <row r="45">
      <c r="A45" s="15" t="n">
        <v>46286</v>
      </c>
      <c r="B45" t="inlineStr">
        <is>
          <t>月</t>
        </is>
      </c>
      <c r="C45" t="inlineStr">
        <is>
          <t>Yahoo検索</t>
        </is>
      </c>
      <c r="D45" s="3" t="n">
        <v>516</v>
      </c>
      <c r="E45" s="3" t="n">
        <v>9</v>
      </c>
      <c r="F45" s="4">
        <f>IFERROR(E45/D45,0)</f>
        <v/>
      </c>
      <c r="G45" s="5">
        <f>IFERROR(H45/E45,0)</f>
        <v/>
      </c>
      <c r="H45" s="5" t="n">
        <v>621.5</v>
      </c>
      <c r="I45" s="5">
        <f>H45*設定!$B$3</f>
        <v/>
      </c>
      <c r="J45" s="6" t="n">
        <v>0</v>
      </c>
      <c r="K45" s="4">
        <f>IFERROR(J45/E45,0)</f>
        <v/>
      </c>
      <c r="L45" s="5">
        <f>IFERROR(I45/J45,"-")</f>
        <v/>
      </c>
      <c r="M45" s="3" t="n">
        <v>0</v>
      </c>
      <c r="N45" s="4">
        <f>IFERROR(M45/E45,0)</f>
        <v/>
      </c>
      <c r="O45" s="5">
        <f>IFERROR(I45/M45,"-")</f>
        <v/>
      </c>
      <c r="P45" s="5" t="n">
        <v>0</v>
      </c>
      <c r="Q45" s="7">
        <f>IFERROR(P45/I45,"-")</f>
        <v/>
      </c>
    </row>
    <row r="46">
      <c r="A46" s="15" t="n">
        <v>46287</v>
      </c>
      <c r="B46" t="inlineStr">
        <is>
          <t>火</t>
        </is>
      </c>
      <c r="C46" t="inlineStr">
        <is>
          <t>Google</t>
        </is>
      </c>
      <c r="D46" s="3" t="n">
        <v>12510</v>
      </c>
      <c r="E46" s="3" t="n">
        <v>382</v>
      </c>
      <c r="F46" s="4">
        <f>IFERROR(E46/D46,0)</f>
        <v/>
      </c>
      <c r="G46" s="5">
        <f>IFERROR(H46/E46,0)</f>
        <v/>
      </c>
      <c r="H46" s="5" t="n">
        <v>17926.02</v>
      </c>
      <c r="I46" s="5">
        <f>H46*設定!$B$3</f>
        <v/>
      </c>
      <c r="J46" s="6" t="n">
        <v>38</v>
      </c>
      <c r="K46" s="4">
        <f>IFERROR(J46/E46,0)</f>
        <v/>
      </c>
      <c r="L46" s="5">
        <f>IFERROR(I46/J46,"-")</f>
        <v/>
      </c>
      <c r="M46" s="3" t="n">
        <v>0</v>
      </c>
      <c r="N46" s="4">
        <f>IFERROR(M46/E46,0)</f>
        <v/>
      </c>
      <c r="O46" s="5">
        <f>IFERROR(I46/M46,"-")</f>
        <v/>
      </c>
      <c r="P46" s="5" t="n">
        <v>0</v>
      </c>
      <c r="Q46" s="7">
        <f>IFERROR(P46/I46,"-")</f>
        <v/>
      </c>
    </row>
    <row r="47">
      <c r="A47" s="15" t="n">
        <v>46287</v>
      </c>
      <c r="B47" t="inlineStr">
        <is>
          <t>火</t>
        </is>
      </c>
      <c r="C47" t="inlineStr">
        <is>
          <t>Yahoo検索</t>
        </is>
      </c>
      <c r="D47" s="3" t="n">
        <v>437</v>
      </c>
      <c r="E47" s="3" t="n">
        <v>8</v>
      </c>
      <c r="F47" s="4">
        <f>IFERROR(E47/D47,0)</f>
        <v/>
      </c>
      <c r="G47" s="5">
        <f>IFERROR(H47/E47,0)</f>
        <v/>
      </c>
      <c r="H47" s="5" t="n">
        <v>741.4</v>
      </c>
      <c r="I47" s="5">
        <f>H47*設定!$B$3</f>
        <v/>
      </c>
      <c r="J47" s="6" t="n">
        <v>0</v>
      </c>
      <c r="K47" s="4">
        <f>IFERROR(J47/E47,0)</f>
        <v/>
      </c>
      <c r="L47" s="5">
        <f>IFERROR(I47/J47,"-")</f>
        <v/>
      </c>
      <c r="M47" s="3" t="n">
        <v>0</v>
      </c>
      <c r="N47" s="4">
        <f>IFERROR(M47/E47,0)</f>
        <v/>
      </c>
      <c r="O47" s="5">
        <f>IFERROR(I47/M47,"-")</f>
        <v/>
      </c>
      <c r="P47" s="5" t="n">
        <v>0</v>
      </c>
      <c r="Q47" s="7">
        <f>IFERROR(P47/I47,"-")</f>
        <v/>
      </c>
    </row>
    <row r="48">
      <c r="A48" s="15" t="n">
        <v>46288</v>
      </c>
      <c r="B48" t="inlineStr">
        <is>
          <t>水</t>
        </is>
      </c>
      <c r="C48" t="inlineStr">
        <is>
          <t>Google</t>
        </is>
      </c>
      <c r="D48" s="3" t="n">
        <v>18113</v>
      </c>
      <c r="E48" s="3" t="n">
        <v>399</v>
      </c>
      <c r="F48" s="4">
        <f>IFERROR(E48/D48,0)</f>
        <v/>
      </c>
      <c r="G48" s="5">
        <f>IFERROR(H48/E48,0)</f>
        <v/>
      </c>
      <c r="H48" s="5" t="n">
        <v>20537.47</v>
      </c>
      <c r="I48" s="5">
        <f>H48*設定!$B$3</f>
        <v/>
      </c>
      <c r="J48" s="6" t="n">
        <v>48</v>
      </c>
      <c r="K48" s="4">
        <f>IFERROR(J48/E48,0)</f>
        <v/>
      </c>
      <c r="L48" s="5">
        <f>IFERROR(I48/J48,"-")</f>
        <v/>
      </c>
      <c r="M48" s="3" t="n">
        <v>0</v>
      </c>
      <c r="N48" s="4">
        <f>IFERROR(M48/E48,0)</f>
        <v/>
      </c>
      <c r="O48" s="5">
        <f>IFERROR(I48/M48,"-")</f>
        <v/>
      </c>
      <c r="P48" s="5" t="n">
        <v>0</v>
      </c>
      <c r="Q48" s="7">
        <f>IFERROR(P48/I48,"-")</f>
        <v/>
      </c>
    </row>
    <row r="49">
      <c r="A49" s="15" t="n">
        <v>46288</v>
      </c>
      <c r="B49" t="inlineStr">
        <is>
          <t>水</t>
        </is>
      </c>
      <c r="C49" t="inlineStr">
        <is>
          <t>Yahoo検索</t>
        </is>
      </c>
      <c r="D49" s="3" t="n">
        <v>559</v>
      </c>
      <c r="E49" s="3" t="n">
        <v>10</v>
      </c>
      <c r="F49" s="4">
        <f>IFERROR(E49/D49,0)</f>
        <v/>
      </c>
      <c r="G49" s="5">
        <f>IFERROR(H49/E49,0)</f>
        <v/>
      </c>
      <c r="H49" s="5" t="n">
        <v>1104.4</v>
      </c>
      <c r="I49" s="5">
        <f>H49*設定!$B$3</f>
        <v/>
      </c>
      <c r="J49" s="6" t="n">
        <v>0</v>
      </c>
      <c r="K49" s="4">
        <f>IFERROR(J49/E49,0)</f>
        <v/>
      </c>
      <c r="L49" s="5">
        <f>IFERROR(I49/J49,"-")</f>
        <v/>
      </c>
      <c r="M49" s="3" t="n">
        <v>0</v>
      </c>
      <c r="N49" s="4">
        <f>IFERROR(M49/E49,0)</f>
        <v/>
      </c>
      <c r="O49" s="5">
        <f>IFERROR(I49/M49,"-")</f>
        <v/>
      </c>
      <c r="P49" s="5" t="n">
        <v>0</v>
      </c>
      <c r="Q49" s="7">
        <f>IFERROR(P49/I49,"-")</f>
        <v/>
      </c>
    </row>
    <row r="50">
      <c r="A50" s="15" t="n">
        <v>46289</v>
      </c>
      <c r="B50" t="inlineStr">
        <is>
          <t>木</t>
        </is>
      </c>
      <c r="C50" t="inlineStr">
        <is>
          <t>Google</t>
        </is>
      </c>
      <c r="D50" s="3" t="n">
        <v>12043</v>
      </c>
      <c r="E50" s="3" t="n">
        <v>301</v>
      </c>
      <c r="F50" s="4">
        <f>IFERROR(E50/D50,0)</f>
        <v/>
      </c>
      <c r="G50" s="5">
        <f>IFERROR(H50/E50,0)</f>
        <v/>
      </c>
      <c r="H50" s="5" t="n">
        <v>27657.27</v>
      </c>
      <c r="I50" s="5">
        <f>H50*設定!$B$3</f>
        <v/>
      </c>
      <c r="J50" s="6" t="n">
        <v>22</v>
      </c>
      <c r="K50" s="4">
        <f>IFERROR(J50/E50,0)</f>
        <v/>
      </c>
      <c r="L50" s="5">
        <f>IFERROR(I50/J50,"-")</f>
        <v/>
      </c>
      <c r="M50" s="3" t="n">
        <v>0</v>
      </c>
      <c r="N50" s="4">
        <f>IFERROR(M50/E50,0)</f>
        <v/>
      </c>
      <c r="O50" s="5">
        <f>IFERROR(I50/M50,"-")</f>
        <v/>
      </c>
      <c r="P50" s="5" t="n">
        <v>0</v>
      </c>
      <c r="Q50" s="7">
        <f>IFERROR(P50/I50,"-")</f>
        <v/>
      </c>
    </row>
    <row r="51">
      <c r="A51" s="15" t="n">
        <v>46289</v>
      </c>
      <c r="B51" t="inlineStr">
        <is>
          <t>木</t>
        </is>
      </c>
      <c r="C51" t="inlineStr">
        <is>
          <t>Yahoo検索</t>
        </is>
      </c>
      <c r="D51" s="3" t="n">
        <v>1010</v>
      </c>
      <c r="E51" s="3" t="n">
        <v>32</v>
      </c>
      <c r="F51" s="4">
        <f>IFERROR(E51/D51,0)</f>
        <v/>
      </c>
      <c r="G51" s="5">
        <f>IFERROR(H51/E51,0)</f>
        <v/>
      </c>
      <c r="H51" s="5" t="n">
        <v>2713.7</v>
      </c>
      <c r="I51" s="5">
        <f>H51*設定!$B$3</f>
        <v/>
      </c>
      <c r="J51" s="6" t="n">
        <v>1</v>
      </c>
      <c r="K51" s="4">
        <f>IFERROR(J51/E51,0)</f>
        <v/>
      </c>
      <c r="L51" s="5">
        <f>IFERROR(I51/J51,"-")</f>
        <v/>
      </c>
      <c r="M51" s="3" t="n">
        <v>0</v>
      </c>
      <c r="N51" s="4">
        <f>IFERROR(M51/E51,0)</f>
        <v/>
      </c>
      <c r="O51" s="5">
        <f>IFERROR(I51/M51,"-")</f>
        <v/>
      </c>
      <c r="P51" s="5" t="n">
        <v>0</v>
      </c>
      <c r="Q51" s="7">
        <f>IFERROR(P51/I51,"-")</f>
        <v/>
      </c>
    </row>
    <row r="52">
      <c r="A52" s="15" t="n">
        <v>46290</v>
      </c>
      <c r="B52" t="inlineStr">
        <is>
          <t>金</t>
        </is>
      </c>
      <c r="C52" t="inlineStr">
        <is>
          <t>Google</t>
        </is>
      </c>
      <c r="D52" s="3" t="n">
        <v>20275</v>
      </c>
      <c r="E52" s="3" t="n">
        <v>687</v>
      </c>
      <c r="F52" s="4">
        <f>IFERROR(E52/D52,0)</f>
        <v/>
      </c>
      <c r="G52" s="5">
        <f>IFERROR(H52/E52,0)</f>
        <v/>
      </c>
      <c r="H52" s="5" t="n">
        <v>29888.61</v>
      </c>
      <c r="I52" s="5">
        <f>H52*設定!$B$3</f>
        <v/>
      </c>
      <c r="J52" s="6" t="n">
        <v>34</v>
      </c>
      <c r="K52" s="4">
        <f>IFERROR(J52/E52,0)</f>
        <v/>
      </c>
      <c r="L52" s="5">
        <f>IFERROR(I52/J52,"-")</f>
        <v/>
      </c>
      <c r="M52" s="3" t="n">
        <v>3</v>
      </c>
      <c r="N52" s="4">
        <f>IFERROR(M52/E52,0)</f>
        <v/>
      </c>
      <c r="O52" s="5">
        <f>IFERROR(I52/M52,"-")</f>
        <v/>
      </c>
      <c r="P52" s="5" t="n">
        <v>418000</v>
      </c>
      <c r="Q52" s="7">
        <f>IFERROR(P52/I52,"-")</f>
        <v/>
      </c>
    </row>
    <row r="53">
      <c r="A53" s="15" t="n">
        <v>46290</v>
      </c>
      <c r="B53" t="inlineStr">
        <is>
          <t>金</t>
        </is>
      </c>
      <c r="C53" t="inlineStr">
        <is>
          <t>Yahoo検索</t>
        </is>
      </c>
      <c r="D53" s="3" t="n">
        <v>1231</v>
      </c>
      <c r="E53" s="3" t="n">
        <v>47</v>
      </c>
      <c r="F53" s="4">
        <f>IFERROR(E53/D53,0)</f>
        <v/>
      </c>
      <c r="G53" s="5">
        <f>IFERROR(H53/E53,0)</f>
        <v/>
      </c>
      <c r="H53" s="5" t="n">
        <v>3672.9</v>
      </c>
      <c r="I53" s="5">
        <f>H53*設定!$B$3</f>
        <v/>
      </c>
      <c r="J53" s="6" t="n">
        <v>1</v>
      </c>
      <c r="K53" s="4">
        <f>IFERROR(J53/E53,0)</f>
        <v/>
      </c>
      <c r="L53" s="5">
        <f>IFERROR(I53/J53,"-")</f>
        <v/>
      </c>
      <c r="M53" s="3" t="n">
        <v>0</v>
      </c>
      <c r="N53" s="4">
        <f>IFERROR(M53/E53,0)</f>
        <v/>
      </c>
      <c r="O53" s="5">
        <f>IFERROR(I53/M53,"-")</f>
        <v/>
      </c>
      <c r="P53" s="5" t="n">
        <v>0</v>
      </c>
      <c r="Q53" s="7">
        <f>IFERROR(P53/I53,"-")</f>
        <v/>
      </c>
    </row>
    <row r="54">
      <c r="A54" s="15" t="n">
        <v>46291</v>
      </c>
      <c r="B54" t="inlineStr">
        <is>
          <t>土</t>
        </is>
      </c>
      <c r="C54" t="inlineStr">
        <is>
          <t>Google</t>
        </is>
      </c>
      <c r="D54" s="3" t="n">
        <v>27289</v>
      </c>
      <c r="E54" s="3" t="n">
        <v>1106</v>
      </c>
      <c r="F54" s="4">
        <f>IFERROR(E54/D54,0)</f>
        <v/>
      </c>
      <c r="G54" s="5">
        <f>IFERROR(H54/E54,0)</f>
        <v/>
      </c>
      <c r="H54" s="5" t="n">
        <v>23919.3</v>
      </c>
      <c r="I54" s="5">
        <f>H54*設定!$B$3</f>
        <v/>
      </c>
      <c r="J54" s="6" t="n">
        <v>76</v>
      </c>
      <c r="K54" s="4">
        <f>IFERROR(J54/E54,0)</f>
        <v/>
      </c>
      <c r="L54" s="5">
        <f>IFERROR(I54/J54,"-")</f>
        <v/>
      </c>
      <c r="M54" s="3" t="n">
        <v>0</v>
      </c>
      <c r="N54" s="4">
        <f>IFERROR(M54/E54,0)</f>
        <v/>
      </c>
      <c r="O54" s="5">
        <f>IFERROR(I54/M54,"-")</f>
        <v/>
      </c>
      <c r="P54" s="5" t="n">
        <v>0</v>
      </c>
      <c r="Q54" s="7">
        <f>IFERROR(P54/I54,"-")</f>
        <v/>
      </c>
    </row>
    <row r="55">
      <c r="A55" s="15" t="n">
        <v>46291</v>
      </c>
      <c r="B55" t="inlineStr">
        <is>
          <t>土</t>
        </is>
      </c>
      <c r="C55" t="inlineStr">
        <is>
          <t>Yahoo検索</t>
        </is>
      </c>
      <c r="D55" s="3" t="n">
        <v>744</v>
      </c>
      <c r="E55" s="3" t="n">
        <v>15</v>
      </c>
      <c r="F55" s="4">
        <f>IFERROR(E55/D55,0)</f>
        <v/>
      </c>
      <c r="G55" s="5">
        <f>IFERROR(H55/E55,0)</f>
        <v/>
      </c>
      <c r="H55" s="5" t="n">
        <v>1226.5</v>
      </c>
      <c r="I55" s="5">
        <f>H55*設定!$B$3</f>
        <v/>
      </c>
      <c r="J55" s="6" t="n">
        <v>0</v>
      </c>
      <c r="K55" s="4">
        <f>IFERROR(J55/E55,0)</f>
        <v/>
      </c>
      <c r="L55" s="5">
        <f>IFERROR(I55/J55,"-")</f>
        <v/>
      </c>
      <c r="M55" s="3" t="n">
        <v>0</v>
      </c>
      <c r="N55" s="4">
        <f>IFERROR(M55/E55,0)</f>
        <v/>
      </c>
      <c r="O55" s="5">
        <f>IFERROR(I55/M55,"-")</f>
        <v/>
      </c>
      <c r="P55" s="5" t="n">
        <v>0</v>
      </c>
      <c r="Q55" s="7">
        <f>IFERROR(P55/I55,"-")</f>
        <v/>
      </c>
    </row>
    <row r="56">
      <c r="A56" s="15" t="n">
        <v>46292</v>
      </c>
      <c r="B56" t="inlineStr">
        <is>
          <t>日</t>
        </is>
      </c>
      <c r="C56" t="inlineStr">
        <is>
          <t>Google</t>
        </is>
      </c>
      <c r="D56" s="3" t="n">
        <v>16114</v>
      </c>
      <c r="E56" s="3" t="n">
        <v>816</v>
      </c>
      <c r="F56" s="4">
        <f>IFERROR(E56/D56,0)</f>
        <v/>
      </c>
      <c r="G56" s="5">
        <f>IFERROR(H56/E56,0)</f>
        <v/>
      </c>
      <c r="H56" s="5" t="n">
        <v>19117.31</v>
      </c>
      <c r="I56" s="5">
        <f>H56*設定!$B$3</f>
        <v/>
      </c>
      <c r="J56" s="6" t="n">
        <v>59.99</v>
      </c>
      <c r="K56" s="4">
        <f>IFERROR(J56/E56,0)</f>
        <v/>
      </c>
      <c r="L56" s="5">
        <f>IFERROR(I56/J56,"-")</f>
        <v/>
      </c>
      <c r="M56" s="3" t="n">
        <v>0</v>
      </c>
      <c r="N56" s="4">
        <f>IFERROR(M56/E56,0)</f>
        <v/>
      </c>
      <c r="O56" s="5">
        <f>IFERROR(I56/M56,"-")</f>
        <v/>
      </c>
      <c r="P56" s="5" t="n">
        <v>0</v>
      </c>
      <c r="Q56" s="7">
        <f>IFERROR(P56/I56,"-")</f>
        <v/>
      </c>
    </row>
    <row r="57">
      <c r="A57" s="15" t="n">
        <v>46292</v>
      </c>
      <c r="B57" t="inlineStr">
        <is>
          <t>日</t>
        </is>
      </c>
      <c r="C57" t="inlineStr">
        <is>
          <t>Yahoo検索</t>
        </is>
      </c>
      <c r="D57" s="3" t="n">
        <v>702</v>
      </c>
      <c r="E57" s="3" t="n">
        <v>22</v>
      </c>
      <c r="F57" s="4">
        <f>IFERROR(E57/D57,0)</f>
        <v/>
      </c>
      <c r="G57" s="5">
        <f>IFERROR(H57/E57,0)</f>
        <v/>
      </c>
      <c r="H57" s="5" t="n">
        <v>1798.5</v>
      </c>
      <c r="I57" s="5">
        <f>H57*設定!$B$3</f>
        <v/>
      </c>
      <c r="J57" s="6" t="n">
        <v>0</v>
      </c>
      <c r="K57" s="4">
        <f>IFERROR(J57/E57,0)</f>
        <v/>
      </c>
      <c r="L57" s="5">
        <f>IFERROR(I57/J57,"-")</f>
        <v/>
      </c>
      <c r="M57" s="3" t="n">
        <v>0</v>
      </c>
      <c r="N57" s="4">
        <f>IFERROR(M57/E57,0)</f>
        <v/>
      </c>
      <c r="O57" s="5">
        <f>IFERROR(I57/M57,"-")</f>
        <v/>
      </c>
      <c r="P57" s="5" t="n">
        <v>0</v>
      </c>
      <c r="Q57" s="7">
        <f>IFERROR(P57/I57,"-")</f>
        <v/>
      </c>
    </row>
    <row r="58">
      <c r="A58" s="15" t="n">
        <v>46293</v>
      </c>
      <c r="B58" t="inlineStr">
        <is>
          <t>月</t>
        </is>
      </c>
      <c r="C58" t="inlineStr">
        <is>
          <t>Google</t>
        </is>
      </c>
      <c r="D58" s="3" t="n">
        <v>8031</v>
      </c>
      <c r="E58" s="3" t="n">
        <v>389</v>
      </c>
      <c r="F58" s="4">
        <f>IFERROR(E58/D58,0)</f>
        <v/>
      </c>
      <c r="G58" s="5">
        <f>IFERROR(H58/E58,0)</f>
        <v/>
      </c>
      <c r="H58" s="5" t="n">
        <v>32354.36</v>
      </c>
      <c r="I58" s="5">
        <f>H58*設定!$B$3</f>
        <v/>
      </c>
      <c r="J58" s="6" t="n">
        <v>39.9</v>
      </c>
      <c r="K58" s="4">
        <f>IFERROR(J58/E58,0)</f>
        <v/>
      </c>
      <c r="L58" s="5">
        <f>IFERROR(I58/J58,"-")</f>
        <v/>
      </c>
      <c r="M58" s="3" t="n">
        <v>2</v>
      </c>
      <c r="N58" s="4">
        <f>IFERROR(M58/E58,0)</f>
        <v/>
      </c>
      <c r="O58" s="5">
        <f>IFERROR(I58/M58,"-")</f>
        <v/>
      </c>
      <c r="P58" s="5" t="n">
        <v>418000</v>
      </c>
      <c r="Q58" s="7">
        <f>IFERROR(P58/I58,"-")</f>
        <v/>
      </c>
    </row>
    <row r="59">
      <c r="A59" s="15" t="n">
        <v>46293</v>
      </c>
      <c r="B59" t="inlineStr">
        <is>
          <t>月</t>
        </is>
      </c>
      <c r="C59" t="inlineStr">
        <is>
          <t>Yahoo検索</t>
        </is>
      </c>
      <c r="D59" s="3" t="n">
        <v>1385</v>
      </c>
      <c r="E59" s="3" t="n">
        <v>43</v>
      </c>
      <c r="F59" s="4">
        <f>IFERROR(E59/D59,0)</f>
        <v/>
      </c>
      <c r="G59" s="5">
        <f>IFERROR(H59/E59,0)</f>
        <v/>
      </c>
      <c r="H59" s="5" t="n">
        <v>3723.5</v>
      </c>
      <c r="I59" s="5">
        <f>H59*設定!$B$3</f>
        <v/>
      </c>
      <c r="J59" s="6" t="n">
        <v>2</v>
      </c>
      <c r="K59" s="4">
        <f>IFERROR(J59/E59,0)</f>
        <v/>
      </c>
      <c r="L59" s="5">
        <f>IFERROR(I59/J59,"-")</f>
        <v/>
      </c>
      <c r="M59" s="3" t="n">
        <v>0</v>
      </c>
      <c r="N59" s="4">
        <f>IFERROR(M59/E59,0)</f>
        <v/>
      </c>
      <c r="O59" s="5">
        <f>IFERROR(I59/M59,"-")</f>
        <v/>
      </c>
      <c r="P59" s="5" t="n">
        <v>0</v>
      </c>
      <c r="Q59" s="7">
        <f>IFERROR(P59/I59,"-")</f>
        <v/>
      </c>
    </row>
    <row r="60">
      <c r="A60" s="15" t="n">
        <v>46294</v>
      </c>
      <c r="B60" t="inlineStr">
        <is>
          <t>火</t>
        </is>
      </c>
      <c r="C60" t="inlineStr">
        <is>
          <t>Google</t>
        </is>
      </c>
      <c r="D60" s="3" t="n">
        <v>6509</v>
      </c>
      <c r="E60" s="3" t="n">
        <v>217</v>
      </c>
      <c r="F60" s="4">
        <f>IFERROR(E60/D60,0)</f>
        <v/>
      </c>
      <c r="G60" s="5">
        <f>IFERROR(H60/E60,0)</f>
        <v/>
      </c>
      <c r="H60" s="5" t="n">
        <v>18153.52</v>
      </c>
      <c r="I60" s="5">
        <f>H60*設定!$B$3</f>
        <v/>
      </c>
      <c r="J60" s="6" t="n">
        <v>15.81</v>
      </c>
      <c r="K60" s="4">
        <f>IFERROR(J60/E60,0)</f>
        <v/>
      </c>
      <c r="L60" s="5">
        <f>IFERROR(I60/J60,"-")</f>
        <v/>
      </c>
      <c r="M60" s="3" t="n">
        <v>1</v>
      </c>
      <c r="N60" s="4">
        <f>IFERROR(M60/E60,0)</f>
        <v/>
      </c>
      <c r="O60" s="5">
        <f>IFERROR(I60/M60,"-")</f>
        <v/>
      </c>
      <c r="P60" s="5" t="n">
        <v>208999</v>
      </c>
      <c r="Q60" s="7">
        <f>IFERROR(P60/I60,"-")</f>
        <v/>
      </c>
    </row>
    <row r="61">
      <c r="A61" s="15" t="n">
        <v>46294</v>
      </c>
      <c r="B61" t="inlineStr">
        <is>
          <t>火</t>
        </is>
      </c>
      <c r="C61" t="inlineStr">
        <is>
          <t>Yahoo検索</t>
        </is>
      </c>
      <c r="D61" s="3" t="n">
        <v>1433</v>
      </c>
      <c r="E61" s="3" t="n">
        <v>59</v>
      </c>
      <c r="F61" s="4">
        <f>IFERROR(E61/D61,0)</f>
        <v/>
      </c>
      <c r="G61" s="5">
        <f>IFERROR(H61/E61,0)</f>
        <v/>
      </c>
      <c r="H61" s="5" t="n">
        <v>4691.5</v>
      </c>
      <c r="I61" s="5">
        <f>H61*設定!$B$3</f>
        <v/>
      </c>
      <c r="J61" s="6" t="n">
        <v>0</v>
      </c>
      <c r="K61" s="4">
        <f>IFERROR(J61/E61,0)</f>
        <v/>
      </c>
      <c r="L61" s="5">
        <f>IFERROR(I61/J61,"-")</f>
        <v/>
      </c>
      <c r="M61" s="3" t="n">
        <v>0</v>
      </c>
      <c r="N61" s="4">
        <f>IFERROR(M61/E61,0)</f>
        <v/>
      </c>
      <c r="O61" s="5">
        <f>IFERROR(I61/M61,"-")</f>
        <v/>
      </c>
      <c r="P61" s="5" t="n">
        <v>0</v>
      </c>
      <c r="Q61" s="7">
        <f>IFERROR(P61/I61,"-")</f>
        <v/>
      </c>
    </row>
    <row r="62">
      <c r="A62" s="15" t="n">
        <v>46295</v>
      </c>
      <c r="B62" t="inlineStr">
        <is>
          <t>水</t>
        </is>
      </c>
      <c r="C62" t="inlineStr">
        <is>
          <t>Google</t>
        </is>
      </c>
      <c r="D62" s="3" t="n">
        <v>13451</v>
      </c>
      <c r="E62" s="3" t="n">
        <v>500</v>
      </c>
      <c r="F62" s="4">
        <f>IFERROR(E62/D62,0)</f>
        <v/>
      </c>
      <c r="G62" s="5">
        <f>IFERROR(H62/E62,0)</f>
        <v/>
      </c>
      <c r="H62" s="5" t="n">
        <v>26052.46</v>
      </c>
      <c r="I62" s="5">
        <f>H62*設定!$B$3</f>
        <v/>
      </c>
      <c r="J62" s="6" t="n">
        <v>48.46</v>
      </c>
      <c r="K62" s="4">
        <f>IFERROR(J62/E62,0)</f>
        <v/>
      </c>
      <c r="L62" s="5">
        <f>IFERROR(I62/J62,"-")</f>
        <v/>
      </c>
      <c r="M62" s="3" t="n">
        <v>1</v>
      </c>
      <c r="N62" s="4">
        <f>IFERROR(M62/E62,0)</f>
        <v/>
      </c>
      <c r="O62" s="5">
        <f>IFERROR(I62/M62,"-")</f>
        <v/>
      </c>
      <c r="P62" s="5" t="n">
        <v>208999</v>
      </c>
      <c r="Q62" s="7">
        <f>IFERROR(P62/I62,"-")</f>
        <v/>
      </c>
    </row>
    <row r="63">
      <c r="A63" s="15" t="n">
        <v>46295</v>
      </c>
      <c r="B63" t="inlineStr">
        <is>
          <t>水</t>
        </is>
      </c>
      <c r="C63" t="inlineStr">
        <is>
          <t>Yahoo検索</t>
        </is>
      </c>
      <c r="D63" s="3" t="n">
        <v>1061</v>
      </c>
      <c r="E63" s="3" t="n">
        <v>57</v>
      </c>
      <c r="F63" s="4">
        <f>IFERROR(E63/D63,0)</f>
        <v/>
      </c>
      <c r="G63" s="5">
        <f>IFERROR(H63/E63,0)</f>
        <v/>
      </c>
      <c r="H63" s="5" t="n">
        <v>4728.9</v>
      </c>
      <c r="I63" s="5">
        <f>H63*設定!$B$3</f>
        <v/>
      </c>
      <c r="J63" s="6" t="n">
        <v>0</v>
      </c>
      <c r="K63" s="4">
        <f>IFERROR(J63/E63,0)</f>
        <v/>
      </c>
      <c r="L63" s="5">
        <f>IFERROR(I63/J63,"-")</f>
        <v/>
      </c>
      <c r="M63" s="3" t="n">
        <v>0</v>
      </c>
      <c r="N63" s="4">
        <f>IFERROR(M63/E63,0)</f>
        <v/>
      </c>
      <c r="O63" s="5">
        <f>IFERROR(I63/M63,"-")</f>
        <v/>
      </c>
      <c r="P63" s="5" t="n">
        <v>0</v>
      </c>
      <c r="Q63" s="7">
        <f>IFERROR(P63/I63,"-")</f>
        <v/>
      </c>
    </row>
    <row r="64">
      <c r="A64" s="15" t="n">
        <v>46296</v>
      </c>
      <c r="B64" t="inlineStr">
        <is>
          <t>木</t>
        </is>
      </c>
      <c r="C64" t="inlineStr">
        <is>
          <t>Google</t>
        </is>
      </c>
      <c r="D64" s="3" t="n">
        <v>7202</v>
      </c>
      <c r="E64" s="3" t="n">
        <v>404</v>
      </c>
      <c r="F64" s="4">
        <f>IFERROR(E64/D64,0)</f>
        <v/>
      </c>
      <c r="G64" s="5">
        <f>IFERROR(H64/E64,0)</f>
        <v/>
      </c>
      <c r="H64" s="5" t="n">
        <v>26582.2</v>
      </c>
      <c r="I64" s="5">
        <f>H64*設定!$B$3</f>
        <v/>
      </c>
      <c r="J64" s="6" t="n">
        <v>41</v>
      </c>
      <c r="K64" s="4">
        <f>IFERROR(J64/E64,0)</f>
        <v/>
      </c>
      <c r="L64" s="5">
        <f>IFERROR(I64/J64,"-")</f>
        <v/>
      </c>
      <c r="M64" s="3" t="n">
        <v>1</v>
      </c>
      <c r="N64" s="4">
        <f>IFERROR(M64/E64,0)</f>
        <v/>
      </c>
      <c r="O64" s="5">
        <f>IFERROR(I64/M64,"-")</f>
        <v/>
      </c>
      <c r="P64" s="5" t="n">
        <v>209000</v>
      </c>
      <c r="Q64" s="7">
        <f>IFERROR(P64/I64,"-")</f>
        <v/>
      </c>
    </row>
    <row r="65">
      <c r="A65" s="15" t="n">
        <v>46296</v>
      </c>
      <c r="B65" t="inlineStr">
        <is>
          <t>木</t>
        </is>
      </c>
      <c r="C65" t="inlineStr">
        <is>
          <t>Yahoo検索</t>
        </is>
      </c>
      <c r="D65" s="3" t="n">
        <v>1198</v>
      </c>
      <c r="E65" s="3" t="n">
        <v>59</v>
      </c>
      <c r="F65" s="4">
        <f>IFERROR(E65/D65,0)</f>
        <v/>
      </c>
      <c r="G65" s="5">
        <f>IFERROR(H65/E65,0)</f>
        <v/>
      </c>
      <c r="H65" s="5" t="n">
        <v>3459.5</v>
      </c>
      <c r="I65" s="5">
        <f>H65*設定!$B$3</f>
        <v/>
      </c>
      <c r="J65" s="6" t="n">
        <v>0</v>
      </c>
      <c r="K65" s="4">
        <f>IFERROR(J65/E65,0)</f>
        <v/>
      </c>
      <c r="L65" s="5">
        <f>IFERROR(I65/J65,"-")</f>
        <v/>
      </c>
      <c r="M65" s="3" t="n">
        <v>0</v>
      </c>
      <c r="N65" s="4">
        <f>IFERROR(M65/E65,0)</f>
        <v/>
      </c>
      <c r="O65" s="5">
        <f>IFERROR(I65/M65,"-")</f>
        <v/>
      </c>
      <c r="P65" s="5" t="n">
        <v>0</v>
      </c>
      <c r="Q65" s="7">
        <f>IFERROR(P65/I65,"-")</f>
        <v/>
      </c>
    </row>
    <row r="66">
      <c r="A66" s="16" t="inlineStr">
        <is>
          <t>合計</t>
        </is>
      </c>
      <c r="B66" s="1" t="inlineStr"/>
      <c r="C66" s="1" t="inlineStr"/>
      <c r="D66" s="8">
        <f>SUM(D4:D65)</f>
        <v/>
      </c>
      <c r="E66" s="8">
        <f>SUM(E4:E65)</f>
        <v/>
      </c>
      <c r="F66" s="9">
        <f>E66/D66</f>
        <v/>
      </c>
      <c r="G66" s="10">
        <f>H66/E66</f>
        <v/>
      </c>
      <c r="H66" s="10">
        <f>SUM(H4:H65)</f>
        <v/>
      </c>
      <c r="I66" s="10">
        <f>SUM(I4:I65)</f>
        <v/>
      </c>
      <c r="J66" s="11">
        <f>SUM(J4:J65)</f>
        <v/>
      </c>
      <c r="K66" s="9">
        <f>J66/E66</f>
        <v/>
      </c>
      <c r="L66" s="10">
        <f>I66/J66</f>
        <v/>
      </c>
      <c r="M66" s="8">
        <f>SUM(M4:M65)</f>
        <v/>
      </c>
      <c r="N66" s="9">
        <f>M66/E66</f>
        <v/>
      </c>
      <c r="O66" s="10">
        <f>I66/M66</f>
        <v/>
      </c>
      <c r="P66" s="10">
        <f>SUM(P4:P65)</f>
        <v/>
      </c>
      <c r="Q66" s="12">
        <f>P66/I66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2026-10-02T07:34:33Z</dcterms:created>
  <dcterms:modified xsi:type="dcterms:W3CDTF">2026-10-02T07:34:33Z</dcterms:modified>
</cp:coreProperties>
</file>